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DED4043D-BEAA-4857-A388-83E597C0225D}" xr6:coauthVersionLast="47" xr6:coauthVersionMax="47" xr10:uidLastSave="{00000000-0000-0000-0000-000000000000}"/>
  <bookViews>
    <workbookView xWindow="-120" yWindow="-120" windowWidth="20730" windowHeight="11160" tabRatio="693" activeTab="3" xr2:uid="{85BB1B47-085F-4FA8-9144-6684A91E0B26}"/>
  </bookViews>
  <sheets>
    <sheet name="subscriptions" sheetId="1" r:id="rId1"/>
    <sheet name="monthly_revenue" sheetId="3" r:id="rId2"/>
    <sheet name="churn_analysis" sheetId="2" r:id="rId3"/>
    <sheet name="Charts" sheetId="7" r:id="rId4"/>
    <sheet name="revenue_analysis" sheetId="4" r:id="rId5"/>
    <sheet name="Dashboard" sheetId="6" r:id="rId6"/>
  </sheets>
  <definedNames>
    <definedName name="ExternalData_1" localSheetId="1" hidden="1">monthly_revenue!$A$1:$H$49</definedName>
    <definedName name="Slicer_billing_cycle">#N/A</definedName>
    <definedName name="Slicer_company_size">#N/A</definedName>
  </definedNames>
  <calcPr calcId="191029"/>
  <pivotCaches>
    <pivotCache cacheId="0" r:id="rId7"/>
    <pivotCache cacheId="1" r:id="rId8"/>
    <pivotCache cacheId="6"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3" l="1"/>
  <c r="X3"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3" i="1"/>
  <c r="U4" i="1"/>
  <c r="U5" i="1"/>
  <c r="U6" i="1"/>
  <c r="U7" i="1"/>
  <c r="U8" i="1"/>
  <c r="U9" i="1"/>
  <c r="U10" i="1"/>
  <c r="U11" i="1"/>
  <c r="U12" i="1"/>
  <c r="U13" i="1"/>
  <c r="U14" i="1"/>
  <c r="U2" i="1"/>
  <c r="K2"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R2" i="1"/>
  <c r="R3" i="1"/>
  <c r="S3" i="1" s="1"/>
  <c r="T3" i="1" s="1"/>
  <c r="V3" i="1" s="1"/>
  <c r="R4" i="1"/>
  <c r="S4" i="1" s="1"/>
  <c r="T4" i="1" s="1"/>
  <c r="V4" i="1" s="1"/>
  <c r="R5" i="1"/>
  <c r="S5" i="1" s="1"/>
  <c r="T5" i="1" s="1"/>
  <c r="V5" i="1" s="1"/>
  <c r="R6" i="1"/>
  <c r="S6" i="1" s="1"/>
  <c r="T6" i="1" s="1"/>
  <c r="V6" i="1" s="1"/>
  <c r="R7" i="1"/>
  <c r="S7" i="1" s="1"/>
  <c r="T7" i="1" s="1"/>
  <c r="V7" i="1" s="1"/>
  <c r="R8" i="1"/>
  <c r="S8" i="1" s="1"/>
  <c r="T8" i="1" s="1"/>
  <c r="V8" i="1" s="1"/>
  <c r="R9" i="1"/>
  <c r="S9" i="1" s="1"/>
  <c r="T9" i="1" s="1"/>
  <c r="V9" i="1" s="1"/>
  <c r="R10" i="1"/>
  <c r="S10" i="1" s="1"/>
  <c r="T10" i="1" s="1"/>
  <c r="V10" i="1" s="1"/>
  <c r="R11" i="1"/>
  <c r="S11" i="1" s="1"/>
  <c r="T11" i="1" s="1"/>
  <c r="V11" i="1" s="1"/>
  <c r="R12" i="1"/>
  <c r="S12" i="1" s="1"/>
  <c r="T12" i="1" s="1"/>
  <c r="V12" i="1" s="1"/>
  <c r="R13" i="1"/>
  <c r="S13" i="1" s="1"/>
  <c r="T13" i="1" s="1"/>
  <c r="V13" i="1" s="1"/>
  <c r="R14" i="1"/>
  <c r="S14" i="1" s="1"/>
  <c r="T14" i="1" s="1"/>
  <c r="V14" i="1" s="1"/>
  <c r="R15" i="1"/>
  <c r="S15" i="1" s="1"/>
  <c r="T15" i="1" s="1"/>
  <c r="V15" i="1" s="1"/>
  <c r="R16" i="1"/>
  <c r="S16" i="1" s="1"/>
  <c r="T16" i="1" s="1"/>
  <c r="V16" i="1" s="1"/>
  <c r="R17" i="1"/>
  <c r="S17" i="1" s="1"/>
  <c r="T17" i="1" s="1"/>
  <c r="V17" i="1" s="1"/>
  <c r="R18" i="1"/>
  <c r="S18" i="1" s="1"/>
  <c r="T18" i="1" s="1"/>
  <c r="V18" i="1" s="1"/>
  <c r="R19" i="1"/>
  <c r="S19" i="1" s="1"/>
  <c r="T19" i="1" s="1"/>
  <c r="V19" i="1" s="1"/>
  <c r="R20" i="1"/>
  <c r="S20" i="1" s="1"/>
  <c r="T20" i="1" s="1"/>
  <c r="V20" i="1" s="1"/>
  <c r="R21" i="1"/>
  <c r="S21" i="1" s="1"/>
  <c r="T21" i="1" s="1"/>
  <c r="V21" i="1" s="1"/>
  <c r="R22" i="1"/>
  <c r="S22" i="1" s="1"/>
  <c r="T22" i="1" s="1"/>
  <c r="V22" i="1" s="1"/>
  <c r="R23" i="1"/>
  <c r="S23" i="1" s="1"/>
  <c r="T23" i="1" s="1"/>
  <c r="V23" i="1" s="1"/>
  <c r="R24" i="1"/>
  <c r="S24" i="1" s="1"/>
  <c r="T24" i="1" s="1"/>
  <c r="V24" i="1" s="1"/>
  <c r="R25" i="1"/>
  <c r="S25" i="1" s="1"/>
  <c r="T25" i="1" s="1"/>
  <c r="V25" i="1" s="1"/>
  <c r="R26" i="1"/>
  <c r="S26" i="1" s="1"/>
  <c r="T26" i="1" s="1"/>
  <c r="V26" i="1" s="1"/>
  <c r="R27" i="1"/>
  <c r="S27" i="1" s="1"/>
  <c r="T27" i="1" s="1"/>
  <c r="V27" i="1" s="1"/>
  <c r="R28" i="1"/>
  <c r="S28" i="1" s="1"/>
  <c r="T28" i="1" s="1"/>
  <c r="V28" i="1" s="1"/>
  <c r="R29" i="1"/>
  <c r="S29" i="1" s="1"/>
  <c r="T29" i="1" s="1"/>
  <c r="V29" i="1" s="1"/>
  <c r="R30" i="1"/>
  <c r="S30" i="1" s="1"/>
  <c r="T30" i="1" s="1"/>
  <c r="V30" i="1" s="1"/>
  <c r="R31" i="1"/>
  <c r="S31" i="1" s="1"/>
  <c r="T31" i="1" s="1"/>
  <c r="V31" i="1" s="1"/>
  <c r="R32" i="1"/>
  <c r="S32" i="1" s="1"/>
  <c r="T32" i="1" s="1"/>
  <c r="V32" i="1" s="1"/>
  <c r="R33" i="1"/>
  <c r="S33" i="1" s="1"/>
  <c r="T33" i="1" s="1"/>
  <c r="V33" i="1" s="1"/>
  <c r="R34" i="1"/>
  <c r="S34" i="1" s="1"/>
  <c r="T34" i="1" s="1"/>
  <c r="V34" i="1" s="1"/>
  <c r="R35" i="1"/>
  <c r="S35" i="1" s="1"/>
  <c r="T35" i="1" s="1"/>
  <c r="V35" i="1" s="1"/>
  <c r="R36" i="1"/>
  <c r="S36" i="1" s="1"/>
  <c r="T36" i="1" s="1"/>
  <c r="V36" i="1" s="1"/>
  <c r="R37" i="1"/>
  <c r="S37" i="1" s="1"/>
  <c r="T37" i="1" s="1"/>
  <c r="V37" i="1" s="1"/>
  <c r="R38" i="1"/>
  <c r="S38" i="1" s="1"/>
  <c r="T38" i="1" s="1"/>
  <c r="V38" i="1" s="1"/>
  <c r="R39" i="1"/>
  <c r="S39" i="1" s="1"/>
  <c r="T39" i="1" s="1"/>
  <c r="V39" i="1" s="1"/>
  <c r="R40" i="1"/>
  <c r="S40" i="1" s="1"/>
  <c r="T40" i="1" s="1"/>
  <c r="V40" i="1" s="1"/>
  <c r="R41" i="1"/>
  <c r="S41" i="1" s="1"/>
  <c r="T41" i="1" s="1"/>
  <c r="V41" i="1" s="1"/>
  <c r="R42" i="1"/>
  <c r="S42" i="1" s="1"/>
  <c r="T42" i="1" s="1"/>
  <c r="V42" i="1" s="1"/>
  <c r="R43" i="1"/>
  <c r="S43" i="1" s="1"/>
  <c r="T43" i="1" s="1"/>
  <c r="V43" i="1" s="1"/>
  <c r="R44" i="1"/>
  <c r="S44" i="1" s="1"/>
  <c r="T44" i="1" s="1"/>
  <c r="V44" i="1" s="1"/>
  <c r="R45" i="1"/>
  <c r="S45" i="1" s="1"/>
  <c r="T45" i="1" s="1"/>
  <c r="V45" i="1" s="1"/>
  <c r="R46" i="1"/>
  <c r="S46" i="1" s="1"/>
  <c r="T46" i="1" s="1"/>
  <c r="V46" i="1" s="1"/>
  <c r="R47" i="1"/>
  <c r="S47" i="1" s="1"/>
  <c r="T47" i="1" s="1"/>
  <c r="V47" i="1" s="1"/>
  <c r="R48" i="1"/>
  <c r="S48" i="1" s="1"/>
  <c r="T48" i="1" s="1"/>
  <c r="V48" i="1" s="1"/>
  <c r="R49" i="1"/>
  <c r="S49" i="1" s="1"/>
  <c r="T49" i="1" s="1"/>
  <c r="V49" i="1" s="1"/>
  <c r="R50" i="1"/>
  <c r="S50" i="1" s="1"/>
  <c r="T50" i="1" s="1"/>
  <c r="V50" i="1" s="1"/>
  <c r="R51" i="1"/>
  <c r="S51" i="1" s="1"/>
  <c r="T51" i="1" s="1"/>
  <c r="V51" i="1" s="1"/>
  <c r="R52" i="1"/>
  <c r="S52" i="1" s="1"/>
  <c r="T52" i="1" s="1"/>
  <c r="V52" i="1" s="1"/>
  <c r="R53" i="1"/>
  <c r="S53" i="1" s="1"/>
  <c r="T53" i="1" s="1"/>
  <c r="V53" i="1" s="1"/>
  <c r="R54" i="1"/>
  <c r="S54" i="1" s="1"/>
  <c r="T54" i="1" s="1"/>
  <c r="V54" i="1" s="1"/>
  <c r="R55" i="1"/>
  <c r="S55" i="1" s="1"/>
  <c r="T55" i="1" s="1"/>
  <c r="V55" i="1" s="1"/>
  <c r="R56" i="1"/>
  <c r="S56" i="1" s="1"/>
  <c r="T56" i="1" s="1"/>
  <c r="V56" i="1" s="1"/>
  <c r="R57" i="1"/>
  <c r="S57" i="1" s="1"/>
  <c r="T57" i="1" s="1"/>
  <c r="V57" i="1" s="1"/>
  <c r="R58" i="1"/>
  <c r="S58" i="1" s="1"/>
  <c r="T58" i="1" s="1"/>
  <c r="V58" i="1" s="1"/>
  <c r="R59" i="1"/>
  <c r="S59" i="1" s="1"/>
  <c r="T59" i="1" s="1"/>
  <c r="V59" i="1" s="1"/>
  <c r="R60" i="1"/>
  <c r="S60" i="1" s="1"/>
  <c r="T60" i="1" s="1"/>
  <c r="V60" i="1" s="1"/>
  <c r="R61" i="1"/>
  <c r="S61" i="1" s="1"/>
  <c r="T61" i="1" s="1"/>
  <c r="V61" i="1" s="1"/>
  <c r="R62" i="1"/>
  <c r="S62" i="1" s="1"/>
  <c r="T62" i="1" s="1"/>
  <c r="V62" i="1" s="1"/>
  <c r="R63" i="1"/>
  <c r="S63" i="1" s="1"/>
  <c r="T63" i="1" s="1"/>
  <c r="V63" i="1" s="1"/>
  <c r="R64" i="1"/>
  <c r="S64" i="1" s="1"/>
  <c r="T64" i="1" s="1"/>
  <c r="V64" i="1" s="1"/>
  <c r="R65" i="1"/>
  <c r="S65" i="1" s="1"/>
  <c r="T65" i="1" s="1"/>
  <c r="V65" i="1" s="1"/>
  <c r="R66" i="1"/>
  <c r="S66" i="1" s="1"/>
  <c r="T66" i="1" s="1"/>
  <c r="V66" i="1" s="1"/>
  <c r="R67" i="1"/>
  <c r="S67" i="1" s="1"/>
  <c r="T67" i="1" s="1"/>
  <c r="V67" i="1" s="1"/>
  <c r="R68" i="1"/>
  <c r="S68" i="1" s="1"/>
  <c r="T68" i="1" s="1"/>
  <c r="V68" i="1" s="1"/>
  <c r="R69" i="1"/>
  <c r="S69" i="1" s="1"/>
  <c r="T69" i="1" s="1"/>
  <c r="V69" i="1" s="1"/>
  <c r="R70" i="1"/>
  <c r="S70" i="1" s="1"/>
  <c r="T70" i="1" s="1"/>
  <c r="V70" i="1" s="1"/>
  <c r="R71" i="1"/>
  <c r="S71" i="1" s="1"/>
  <c r="T71" i="1" s="1"/>
  <c r="V71" i="1" s="1"/>
  <c r="R72" i="1"/>
  <c r="S72" i="1" s="1"/>
  <c r="T72" i="1" s="1"/>
  <c r="V72" i="1" s="1"/>
  <c r="R73" i="1"/>
  <c r="S73" i="1" s="1"/>
  <c r="T73" i="1" s="1"/>
  <c r="V73" i="1" s="1"/>
  <c r="R74" i="1"/>
  <c r="S74" i="1" s="1"/>
  <c r="T74" i="1" s="1"/>
  <c r="V74" i="1" s="1"/>
  <c r="R75" i="1"/>
  <c r="S75" i="1" s="1"/>
  <c r="T75" i="1" s="1"/>
  <c r="V75" i="1" s="1"/>
  <c r="R76" i="1"/>
  <c r="S76" i="1" s="1"/>
  <c r="T76" i="1" s="1"/>
  <c r="V76" i="1" s="1"/>
  <c r="R77" i="1"/>
  <c r="S77" i="1" s="1"/>
  <c r="T77" i="1" s="1"/>
  <c r="V77" i="1" s="1"/>
  <c r="R78" i="1"/>
  <c r="S78" i="1" s="1"/>
  <c r="T78" i="1" s="1"/>
  <c r="V78" i="1" s="1"/>
  <c r="R79" i="1"/>
  <c r="S79" i="1" s="1"/>
  <c r="T79" i="1" s="1"/>
  <c r="V79" i="1" s="1"/>
  <c r="R80" i="1"/>
  <c r="S80" i="1" s="1"/>
  <c r="T80" i="1" s="1"/>
  <c r="V80" i="1" s="1"/>
  <c r="R81" i="1"/>
  <c r="S81" i="1" s="1"/>
  <c r="T81" i="1" s="1"/>
  <c r="V81" i="1" s="1"/>
  <c r="R82" i="1"/>
  <c r="S82" i="1" s="1"/>
  <c r="T82" i="1" s="1"/>
  <c r="V82" i="1" s="1"/>
  <c r="R83" i="1"/>
  <c r="S83" i="1" s="1"/>
  <c r="T83" i="1" s="1"/>
  <c r="V83" i="1" s="1"/>
  <c r="R84" i="1"/>
  <c r="S84" i="1" s="1"/>
  <c r="T84" i="1" s="1"/>
  <c r="V84" i="1" s="1"/>
  <c r="R85" i="1"/>
  <c r="S85" i="1" s="1"/>
  <c r="T85" i="1" s="1"/>
  <c r="V85" i="1" s="1"/>
  <c r="R86" i="1"/>
  <c r="S86" i="1" s="1"/>
  <c r="T86" i="1" s="1"/>
  <c r="V86" i="1" s="1"/>
  <c r="R87" i="1"/>
  <c r="S87" i="1" s="1"/>
  <c r="T87" i="1" s="1"/>
  <c r="V87" i="1" s="1"/>
  <c r="R88" i="1"/>
  <c r="S88" i="1" s="1"/>
  <c r="T88" i="1" s="1"/>
  <c r="V88" i="1" s="1"/>
  <c r="R89" i="1"/>
  <c r="S89" i="1" s="1"/>
  <c r="T89" i="1" s="1"/>
  <c r="V89" i="1" s="1"/>
  <c r="R90" i="1"/>
  <c r="S90" i="1" s="1"/>
  <c r="T90" i="1" s="1"/>
  <c r="V90" i="1" s="1"/>
  <c r="R91" i="1"/>
  <c r="S91" i="1" s="1"/>
  <c r="T91" i="1" s="1"/>
  <c r="V91" i="1" s="1"/>
  <c r="R92" i="1"/>
  <c r="S92" i="1" s="1"/>
  <c r="T92" i="1" s="1"/>
  <c r="V92" i="1" s="1"/>
  <c r="R93" i="1"/>
  <c r="S93" i="1" s="1"/>
  <c r="T93" i="1" s="1"/>
  <c r="V93" i="1" s="1"/>
  <c r="R94" i="1"/>
  <c r="S94" i="1" s="1"/>
  <c r="T94" i="1" s="1"/>
  <c r="V94" i="1" s="1"/>
  <c r="R95" i="1"/>
  <c r="S95" i="1" s="1"/>
  <c r="T95" i="1" s="1"/>
  <c r="V95" i="1" s="1"/>
  <c r="R96" i="1"/>
  <c r="S96" i="1" s="1"/>
  <c r="T96" i="1" s="1"/>
  <c r="V96" i="1" s="1"/>
  <c r="R97" i="1"/>
  <c r="S97" i="1" s="1"/>
  <c r="T97" i="1" s="1"/>
  <c r="V97" i="1" s="1"/>
  <c r="R98" i="1"/>
  <c r="S98" i="1" s="1"/>
  <c r="T98" i="1" s="1"/>
  <c r="V98" i="1" s="1"/>
  <c r="R99" i="1"/>
  <c r="S99" i="1" s="1"/>
  <c r="T99" i="1" s="1"/>
  <c r="V99" i="1" s="1"/>
  <c r="R100" i="1"/>
  <c r="S100" i="1" s="1"/>
  <c r="T100" i="1" s="1"/>
  <c r="V100" i="1" s="1"/>
  <c r="R101" i="1"/>
  <c r="S101" i="1" s="1"/>
  <c r="T101" i="1" s="1"/>
  <c r="V101" i="1" s="1"/>
  <c r="R102" i="1"/>
  <c r="S102" i="1" s="1"/>
  <c r="T102" i="1" s="1"/>
  <c r="V102" i="1" s="1"/>
  <c r="R103" i="1"/>
  <c r="S103" i="1" s="1"/>
  <c r="T103" i="1" s="1"/>
  <c r="V103" i="1" s="1"/>
  <c r="R104" i="1"/>
  <c r="S104" i="1" s="1"/>
  <c r="T104" i="1" s="1"/>
  <c r="V104" i="1" s="1"/>
  <c r="R105" i="1"/>
  <c r="S105" i="1" s="1"/>
  <c r="T105" i="1" s="1"/>
  <c r="V105" i="1" s="1"/>
  <c r="R106" i="1"/>
  <c r="S106" i="1" s="1"/>
  <c r="T106" i="1" s="1"/>
  <c r="V106" i="1" s="1"/>
  <c r="R107" i="1"/>
  <c r="S107" i="1" s="1"/>
  <c r="T107" i="1" s="1"/>
  <c r="V107" i="1" s="1"/>
  <c r="R108" i="1"/>
  <c r="S108" i="1" s="1"/>
  <c r="T108" i="1" s="1"/>
  <c r="V108" i="1" s="1"/>
  <c r="R109" i="1"/>
  <c r="S109" i="1" s="1"/>
  <c r="T109" i="1" s="1"/>
  <c r="V109" i="1" s="1"/>
  <c r="R110" i="1"/>
  <c r="S110" i="1" s="1"/>
  <c r="T110" i="1" s="1"/>
  <c r="V110" i="1" s="1"/>
  <c r="R111" i="1"/>
  <c r="S111" i="1" s="1"/>
  <c r="T111" i="1" s="1"/>
  <c r="V111" i="1" s="1"/>
  <c r="R112" i="1"/>
  <c r="S112" i="1" s="1"/>
  <c r="T112" i="1" s="1"/>
  <c r="V112" i="1" s="1"/>
  <c r="R113" i="1"/>
  <c r="S113" i="1" s="1"/>
  <c r="T113" i="1" s="1"/>
  <c r="V113" i="1" s="1"/>
  <c r="R114" i="1"/>
  <c r="S114" i="1" s="1"/>
  <c r="T114" i="1" s="1"/>
  <c r="V114" i="1" s="1"/>
  <c r="R115" i="1"/>
  <c r="S115" i="1" s="1"/>
  <c r="T115" i="1" s="1"/>
  <c r="V115" i="1" s="1"/>
  <c r="R116" i="1"/>
  <c r="S116" i="1" s="1"/>
  <c r="T116" i="1" s="1"/>
  <c r="V116" i="1" s="1"/>
  <c r="R117" i="1"/>
  <c r="S117" i="1" s="1"/>
  <c r="T117" i="1" s="1"/>
  <c r="V117" i="1" s="1"/>
  <c r="R118" i="1"/>
  <c r="S118" i="1" s="1"/>
  <c r="T118" i="1" s="1"/>
  <c r="V118" i="1" s="1"/>
  <c r="R119" i="1"/>
  <c r="S119" i="1" s="1"/>
  <c r="T119" i="1" s="1"/>
  <c r="V119" i="1" s="1"/>
  <c r="R120" i="1"/>
  <c r="S120" i="1" s="1"/>
  <c r="T120" i="1" s="1"/>
  <c r="V120" i="1" s="1"/>
  <c r="R121" i="1"/>
  <c r="S121" i="1" s="1"/>
  <c r="T121" i="1" s="1"/>
  <c r="V121" i="1" s="1"/>
  <c r="R122" i="1"/>
  <c r="S122" i="1" s="1"/>
  <c r="T122" i="1" s="1"/>
  <c r="V122" i="1" s="1"/>
  <c r="R123" i="1"/>
  <c r="S123" i="1" s="1"/>
  <c r="T123" i="1" s="1"/>
  <c r="V123" i="1" s="1"/>
  <c r="R124" i="1"/>
  <c r="S124" i="1" s="1"/>
  <c r="T124" i="1" s="1"/>
  <c r="V124" i="1" s="1"/>
  <c r="R125" i="1"/>
  <c r="S125" i="1" s="1"/>
  <c r="T125" i="1" s="1"/>
  <c r="V125" i="1" s="1"/>
  <c r="R126" i="1"/>
  <c r="S126" i="1" s="1"/>
  <c r="T126" i="1" s="1"/>
  <c r="V126" i="1" s="1"/>
  <c r="R127" i="1"/>
  <c r="S127" i="1" s="1"/>
  <c r="T127" i="1" s="1"/>
  <c r="V127" i="1" s="1"/>
  <c r="R128" i="1"/>
  <c r="S128" i="1" s="1"/>
  <c r="T128" i="1" s="1"/>
  <c r="V128" i="1" s="1"/>
  <c r="R129" i="1"/>
  <c r="S129" i="1" s="1"/>
  <c r="T129" i="1" s="1"/>
  <c r="V129" i="1" s="1"/>
  <c r="R130" i="1"/>
  <c r="S130" i="1" s="1"/>
  <c r="T130" i="1" s="1"/>
  <c r="V130" i="1" s="1"/>
  <c r="R131" i="1"/>
  <c r="S131" i="1" s="1"/>
  <c r="T131" i="1" s="1"/>
  <c r="V131" i="1" s="1"/>
  <c r="R132" i="1"/>
  <c r="S132" i="1" s="1"/>
  <c r="T132" i="1" s="1"/>
  <c r="V132" i="1" s="1"/>
  <c r="R133" i="1"/>
  <c r="S133" i="1" s="1"/>
  <c r="T133" i="1" s="1"/>
  <c r="V133" i="1" s="1"/>
  <c r="R134" i="1"/>
  <c r="S134" i="1" s="1"/>
  <c r="T134" i="1" s="1"/>
  <c r="V134" i="1" s="1"/>
  <c r="R135" i="1"/>
  <c r="S135" i="1" s="1"/>
  <c r="T135" i="1" s="1"/>
  <c r="V135" i="1" s="1"/>
  <c r="R136" i="1"/>
  <c r="S136" i="1" s="1"/>
  <c r="T136" i="1" s="1"/>
  <c r="V136" i="1" s="1"/>
  <c r="R137" i="1"/>
  <c r="S137" i="1" s="1"/>
  <c r="T137" i="1" s="1"/>
  <c r="V137" i="1" s="1"/>
  <c r="R138" i="1"/>
  <c r="S138" i="1" s="1"/>
  <c r="T138" i="1" s="1"/>
  <c r="V138" i="1" s="1"/>
  <c r="R139" i="1"/>
  <c r="S139" i="1" s="1"/>
  <c r="T139" i="1" s="1"/>
  <c r="V139" i="1" s="1"/>
  <c r="R140" i="1"/>
  <c r="S140" i="1" s="1"/>
  <c r="T140" i="1" s="1"/>
  <c r="V140" i="1" s="1"/>
  <c r="R141" i="1"/>
  <c r="S141" i="1" s="1"/>
  <c r="T141" i="1" s="1"/>
  <c r="V141" i="1" s="1"/>
  <c r="R142" i="1"/>
  <c r="S142" i="1" s="1"/>
  <c r="T142" i="1" s="1"/>
  <c r="V142" i="1" s="1"/>
  <c r="R143" i="1"/>
  <c r="S143" i="1" s="1"/>
  <c r="T143" i="1" s="1"/>
  <c r="V143" i="1" s="1"/>
  <c r="R144" i="1"/>
  <c r="S144" i="1" s="1"/>
  <c r="T144" i="1" s="1"/>
  <c r="V144" i="1" s="1"/>
  <c r="R145" i="1"/>
  <c r="S145" i="1" s="1"/>
  <c r="T145" i="1" s="1"/>
  <c r="V145" i="1" s="1"/>
  <c r="R146" i="1"/>
  <c r="S146" i="1" s="1"/>
  <c r="T146" i="1" s="1"/>
  <c r="V146" i="1" s="1"/>
  <c r="R147" i="1"/>
  <c r="S147" i="1" s="1"/>
  <c r="T147" i="1" s="1"/>
  <c r="V147" i="1" s="1"/>
  <c r="R148" i="1"/>
  <c r="S148" i="1" s="1"/>
  <c r="T148" i="1" s="1"/>
  <c r="V148" i="1" s="1"/>
  <c r="R149" i="1"/>
  <c r="S149" i="1" s="1"/>
  <c r="T149" i="1" s="1"/>
  <c r="V149" i="1" s="1"/>
  <c r="R150" i="1"/>
  <c r="S150" i="1" s="1"/>
  <c r="T150" i="1" s="1"/>
  <c r="V150" i="1" s="1"/>
  <c r="R151" i="1"/>
  <c r="S151" i="1" s="1"/>
  <c r="T151" i="1" s="1"/>
  <c r="V151" i="1" s="1"/>
  <c r="R152" i="1"/>
  <c r="S152" i="1" s="1"/>
  <c r="T152" i="1" s="1"/>
  <c r="V152" i="1" s="1"/>
  <c r="R153" i="1"/>
  <c r="S153" i="1" s="1"/>
  <c r="T153" i="1" s="1"/>
  <c r="V153" i="1" s="1"/>
  <c r="R154" i="1"/>
  <c r="S154" i="1" s="1"/>
  <c r="T154" i="1" s="1"/>
  <c r="V154" i="1" s="1"/>
  <c r="R155" i="1"/>
  <c r="S155" i="1" s="1"/>
  <c r="T155" i="1" s="1"/>
  <c r="V155" i="1" s="1"/>
  <c r="R156" i="1"/>
  <c r="S156" i="1" s="1"/>
  <c r="T156" i="1" s="1"/>
  <c r="V156" i="1" s="1"/>
  <c r="R157" i="1"/>
  <c r="S157" i="1" s="1"/>
  <c r="T157" i="1" s="1"/>
  <c r="V157" i="1" s="1"/>
  <c r="R158" i="1"/>
  <c r="S158" i="1" s="1"/>
  <c r="T158" i="1" s="1"/>
  <c r="V158" i="1" s="1"/>
  <c r="R159" i="1"/>
  <c r="S159" i="1" s="1"/>
  <c r="T159" i="1" s="1"/>
  <c r="V159" i="1" s="1"/>
  <c r="R160" i="1"/>
  <c r="S160" i="1" s="1"/>
  <c r="T160" i="1" s="1"/>
  <c r="V160" i="1" s="1"/>
  <c r="R161" i="1"/>
  <c r="S161" i="1" s="1"/>
  <c r="T161" i="1" s="1"/>
  <c r="V161" i="1" s="1"/>
  <c r="R162" i="1"/>
  <c r="S162" i="1" s="1"/>
  <c r="T162" i="1" s="1"/>
  <c r="V162" i="1" s="1"/>
  <c r="R163" i="1"/>
  <c r="S163" i="1" s="1"/>
  <c r="T163" i="1" s="1"/>
  <c r="V163" i="1" s="1"/>
  <c r="R164" i="1"/>
  <c r="S164" i="1" s="1"/>
  <c r="T164" i="1" s="1"/>
  <c r="V164" i="1" s="1"/>
  <c r="R165" i="1"/>
  <c r="S165" i="1" s="1"/>
  <c r="T165" i="1" s="1"/>
  <c r="V165" i="1" s="1"/>
  <c r="R166" i="1"/>
  <c r="S166" i="1" s="1"/>
  <c r="T166" i="1" s="1"/>
  <c r="V166" i="1" s="1"/>
  <c r="R167" i="1"/>
  <c r="S167" i="1" s="1"/>
  <c r="T167" i="1" s="1"/>
  <c r="V167" i="1" s="1"/>
  <c r="R168" i="1"/>
  <c r="S168" i="1" s="1"/>
  <c r="T168" i="1" s="1"/>
  <c r="V168" i="1" s="1"/>
  <c r="R169" i="1"/>
  <c r="S169" i="1" s="1"/>
  <c r="T169" i="1" s="1"/>
  <c r="V169" i="1" s="1"/>
  <c r="R170" i="1"/>
  <c r="S170" i="1" s="1"/>
  <c r="T170" i="1" s="1"/>
  <c r="V170" i="1" s="1"/>
  <c r="R171" i="1"/>
  <c r="S171" i="1" s="1"/>
  <c r="T171" i="1" s="1"/>
  <c r="V171" i="1" s="1"/>
  <c r="R172" i="1"/>
  <c r="S172" i="1" s="1"/>
  <c r="T172" i="1" s="1"/>
  <c r="V172" i="1" s="1"/>
  <c r="R173" i="1"/>
  <c r="S173" i="1" s="1"/>
  <c r="T173" i="1" s="1"/>
  <c r="V173" i="1" s="1"/>
  <c r="R174" i="1"/>
  <c r="S174" i="1" s="1"/>
  <c r="T174" i="1" s="1"/>
  <c r="V174" i="1" s="1"/>
  <c r="R175" i="1"/>
  <c r="S175" i="1" s="1"/>
  <c r="T175" i="1" s="1"/>
  <c r="V175" i="1" s="1"/>
  <c r="R176" i="1"/>
  <c r="S176" i="1" s="1"/>
  <c r="T176" i="1" s="1"/>
  <c r="V176" i="1" s="1"/>
  <c r="R177" i="1"/>
  <c r="S177" i="1" s="1"/>
  <c r="T177" i="1" s="1"/>
  <c r="V177" i="1" s="1"/>
  <c r="R178" i="1"/>
  <c r="S178" i="1" s="1"/>
  <c r="T178" i="1" s="1"/>
  <c r="V178" i="1" s="1"/>
  <c r="R179" i="1"/>
  <c r="S179" i="1" s="1"/>
  <c r="T179" i="1" s="1"/>
  <c r="V179" i="1" s="1"/>
  <c r="R180" i="1"/>
  <c r="S180" i="1" s="1"/>
  <c r="T180" i="1" s="1"/>
  <c r="V180" i="1" s="1"/>
  <c r="R181" i="1"/>
  <c r="S181" i="1" s="1"/>
  <c r="T181" i="1" s="1"/>
  <c r="V181" i="1" s="1"/>
  <c r="R182" i="1"/>
  <c r="S182" i="1" s="1"/>
  <c r="T182" i="1" s="1"/>
  <c r="V182" i="1" s="1"/>
  <c r="R183" i="1"/>
  <c r="S183" i="1" s="1"/>
  <c r="T183" i="1" s="1"/>
  <c r="V183" i="1" s="1"/>
  <c r="R184" i="1"/>
  <c r="S184" i="1" s="1"/>
  <c r="T184" i="1" s="1"/>
  <c r="V184" i="1" s="1"/>
  <c r="R185" i="1"/>
  <c r="S185" i="1" s="1"/>
  <c r="T185" i="1" s="1"/>
  <c r="V185" i="1" s="1"/>
  <c r="R186" i="1"/>
  <c r="S186" i="1" s="1"/>
  <c r="T186" i="1" s="1"/>
  <c r="V186" i="1" s="1"/>
  <c r="R187" i="1"/>
  <c r="S187" i="1" s="1"/>
  <c r="T187" i="1" s="1"/>
  <c r="V187" i="1" s="1"/>
  <c r="R188" i="1"/>
  <c r="S188" i="1" s="1"/>
  <c r="T188" i="1" s="1"/>
  <c r="V188" i="1" s="1"/>
  <c r="R189" i="1"/>
  <c r="S189" i="1" s="1"/>
  <c r="T189" i="1" s="1"/>
  <c r="V189" i="1" s="1"/>
  <c r="R190" i="1"/>
  <c r="S190" i="1" s="1"/>
  <c r="T190" i="1" s="1"/>
  <c r="V190" i="1" s="1"/>
  <c r="R191" i="1"/>
  <c r="S191" i="1" s="1"/>
  <c r="T191" i="1" s="1"/>
  <c r="V191" i="1" s="1"/>
  <c r="R192" i="1"/>
  <c r="S192" i="1" s="1"/>
  <c r="T192" i="1" s="1"/>
  <c r="V192" i="1" s="1"/>
  <c r="R193" i="1"/>
  <c r="S193" i="1" s="1"/>
  <c r="T193" i="1" s="1"/>
  <c r="V193" i="1" s="1"/>
  <c r="R194" i="1"/>
  <c r="S194" i="1" s="1"/>
  <c r="T194" i="1" s="1"/>
  <c r="V194" i="1" s="1"/>
  <c r="R195" i="1"/>
  <c r="S195" i="1" s="1"/>
  <c r="T195" i="1" s="1"/>
  <c r="V195" i="1" s="1"/>
  <c r="R196" i="1"/>
  <c r="S196" i="1" s="1"/>
  <c r="T196" i="1" s="1"/>
  <c r="V196" i="1" s="1"/>
  <c r="R197" i="1"/>
  <c r="S197" i="1" s="1"/>
  <c r="T197" i="1" s="1"/>
  <c r="V197" i="1" s="1"/>
  <c r="R198" i="1"/>
  <c r="S198" i="1" s="1"/>
  <c r="T198" i="1" s="1"/>
  <c r="V198" i="1" s="1"/>
  <c r="R199" i="1"/>
  <c r="S199" i="1" s="1"/>
  <c r="T199" i="1" s="1"/>
  <c r="V199" i="1" s="1"/>
  <c r="R200" i="1"/>
  <c r="S200" i="1" s="1"/>
  <c r="T200" i="1" s="1"/>
  <c r="V200" i="1" s="1"/>
  <c r="R201" i="1"/>
  <c r="S201" i="1" s="1"/>
  <c r="T201" i="1" s="1"/>
  <c r="V201" i="1" s="1"/>
  <c r="R202" i="1"/>
  <c r="S202" i="1" s="1"/>
  <c r="T202" i="1" s="1"/>
  <c r="V202" i="1" s="1"/>
  <c r="R203" i="1"/>
  <c r="S203" i="1" s="1"/>
  <c r="T203" i="1" s="1"/>
  <c r="V203" i="1" s="1"/>
  <c r="R204" i="1"/>
  <c r="S204" i="1" s="1"/>
  <c r="T204" i="1" s="1"/>
  <c r="V204" i="1" s="1"/>
  <c r="R205" i="1"/>
  <c r="S205" i="1" s="1"/>
  <c r="T205" i="1" s="1"/>
  <c r="V205" i="1" s="1"/>
  <c r="R206" i="1"/>
  <c r="S206" i="1" s="1"/>
  <c r="T206" i="1" s="1"/>
  <c r="V206" i="1" s="1"/>
  <c r="R207" i="1"/>
  <c r="S207" i="1" s="1"/>
  <c r="T207" i="1" s="1"/>
  <c r="V207" i="1" s="1"/>
  <c r="R208" i="1"/>
  <c r="S208" i="1" s="1"/>
  <c r="T208" i="1" s="1"/>
  <c r="V208" i="1" s="1"/>
  <c r="R209" i="1"/>
  <c r="S209" i="1" s="1"/>
  <c r="T209" i="1" s="1"/>
  <c r="V209" i="1" s="1"/>
  <c r="R210" i="1"/>
  <c r="S210" i="1" s="1"/>
  <c r="T210" i="1" s="1"/>
  <c r="V210" i="1" s="1"/>
  <c r="R211" i="1"/>
  <c r="S211" i="1" s="1"/>
  <c r="T211" i="1" s="1"/>
  <c r="V211" i="1" s="1"/>
  <c r="R212" i="1"/>
  <c r="S212" i="1" s="1"/>
  <c r="T212" i="1" s="1"/>
  <c r="V212" i="1" s="1"/>
  <c r="R213" i="1"/>
  <c r="S213" i="1" s="1"/>
  <c r="T213" i="1" s="1"/>
  <c r="V213" i="1" s="1"/>
  <c r="R214" i="1"/>
  <c r="S214" i="1" s="1"/>
  <c r="T214" i="1" s="1"/>
  <c r="V214" i="1" s="1"/>
  <c r="R215" i="1"/>
  <c r="S215" i="1" s="1"/>
  <c r="T215" i="1" s="1"/>
  <c r="V215" i="1" s="1"/>
  <c r="R216" i="1"/>
  <c r="S216" i="1" s="1"/>
  <c r="T216" i="1" s="1"/>
  <c r="V216" i="1" s="1"/>
  <c r="R217" i="1"/>
  <c r="S217" i="1" s="1"/>
  <c r="T217" i="1" s="1"/>
  <c r="V217" i="1" s="1"/>
  <c r="R218" i="1"/>
  <c r="S218" i="1" s="1"/>
  <c r="T218" i="1" s="1"/>
  <c r="V218" i="1" s="1"/>
  <c r="R219" i="1"/>
  <c r="S219" i="1" s="1"/>
  <c r="T219" i="1" s="1"/>
  <c r="V219" i="1" s="1"/>
  <c r="R220" i="1"/>
  <c r="S220" i="1" s="1"/>
  <c r="T220" i="1" s="1"/>
  <c r="V220" i="1" s="1"/>
  <c r="R221" i="1"/>
  <c r="S221" i="1" s="1"/>
  <c r="T221" i="1" s="1"/>
  <c r="V221" i="1" s="1"/>
  <c r="R222" i="1"/>
  <c r="S222" i="1" s="1"/>
  <c r="T222" i="1" s="1"/>
  <c r="V222" i="1" s="1"/>
  <c r="R223" i="1"/>
  <c r="S223" i="1" s="1"/>
  <c r="T223" i="1" s="1"/>
  <c r="V223" i="1" s="1"/>
  <c r="R224" i="1"/>
  <c r="S224" i="1" s="1"/>
  <c r="T224" i="1" s="1"/>
  <c r="V224" i="1" s="1"/>
  <c r="R225" i="1"/>
  <c r="S225" i="1" s="1"/>
  <c r="T225" i="1" s="1"/>
  <c r="V225" i="1" s="1"/>
  <c r="R226" i="1"/>
  <c r="S226" i="1" s="1"/>
  <c r="T226" i="1" s="1"/>
  <c r="V226" i="1" s="1"/>
  <c r="R227" i="1"/>
  <c r="S227" i="1" s="1"/>
  <c r="T227" i="1" s="1"/>
  <c r="V227" i="1" s="1"/>
  <c r="R228" i="1"/>
  <c r="S228" i="1" s="1"/>
  <c r="T228" i="1" s="1"/>
  <c r="V228" i="1" s="1"/>
  <c r="R229" i="1"/>
  <c r="S229" i="1" s="1"/>
  <c r="T229" i="1" s="1"/>
  <c r="V229" i="1" s="1"/>
  <c r="R230" i="1"/>
  <c r="S230" i="1" s="1"/>
  <c r="T230" i="1" s="1"/>
  <c r="V230" i="1" s="1"/>
  <c r="R231" i="1"/>
  <c r="S231" i="1" s="1"/>
  <c r="T231" i="1" s="1"/>
  <c r="V231" i="1" s="1"/>
  <c r="R232" i="1"/>
  <c r="S232" i="1" s="1"/>
  <c r="T232" i="1" s="1"/>
  <c r="V232" i="1" s="1"/>
  <c r="R233" i="1"/>
  <c r="S233" i="1" s="1"/>
  <c r="T233" i="1" s="1"/>
  <c r="V233" i="1" s="1"/>
  <c r="R234" i="1"/>
  <c r="S234" i="1" s="1"/>
  <c r="T234" i="1" s="1"/>
  <c r="V234" i="1" s="1"/>
  <c r="R235" i="1"/>
  <c r="S235" i="1" s="1"/>
  <c r="T235" i="1" s="1"/>
  <c r="V235" i="1" s="1"/>
  <c r="R236" i="1"/>
  <c r="S236" i="1" s="1"/>
  <c r="T236" i="1" s="1"/>
  <c r="V236" i="1" s="1"/>
  <c r="R237" i="1"/>
  <c r="S237" i="1" s="1"/>
  <c r="T237" i="1" s="1"/>
  <c r="V237" i="1" s="1"/>
  <c r="R238" i="1"/>
  <c r="S238" i="1" s="1"/>
  <c r="T238" i="1" s="1"/>
  <c r="V238" i="1" s="1"/>
  <c r="R239" i="1"/>
  <c r="S239" i="1" s="1"/>
  <c r="T239" i="1" s="1"/>
  <c r="V239" i="1" s="1"/>
  <c r="R240" i="1"/>
  <c r="S240" i="1" s="1"/>
  <c r="T240" i="1" s="1"/>
  <c r="V240" i="1" s="1"/>
  <c r="R241" i="1"/>
  <c r="S241" i="1" s="1"/>
  <c r="T241" i="1" s="1"/>
  <c r="V241" i="1" s="1"/>
  <c r="R242" i="1"/>
  <c r="S242" i="1" s="1"/>
  <c r="T242" i="1" s="1"/>
  <c r="V242" i="1" s="1"/>
  <c r="R243" i="1"/>
  <c r="S243" i="1" s="1"/>
  <c r="T243" i="1" s="1"/>
  <c r="V243" i="1" s="1"/>
  <c r="R244" i="1"/>
  <c r="S244" i="1" s="1"/>
  <c r="T244" i="1" s="1"/>
  <c r="V244" i="1" s="1"/>
  <c r="R245" i="1"/>
  <c r="S245" i="1" s="1"/>
  <c r="T245" i="1" s="1"/>
  <c r="V245" i="1" s="1"/>
  <c r="R246" i="1"/>
  <c r="S246" i="1" s="1"/>
  <c r="T246" i="1" s="1"/>
  <c r="V246" i="1" s="1"/>
  <c r="R247" i="1"/>
  <c r="S247" i="1" s="1"/>
  <c r="T247" i="1" s="1"/>
  <c r="V247" i="1" s="1"/>
  <c r="R248" i="1"/>
  <c r="S248" i="1" s="1"/>
  <c r="T248" i="1" s="1"/>
  <c r="V248" i="1" s="1"/>
  <c r="R249" i="1"/>
  <c r="S249" i="1" s="1"/>
  <c r="T249" i="1" s="1"/>
  <c r="V249" i="1" s="1"/>
  <c r="R250" i="1"/>
  <c r="S250" i="1" s="1"/>
  <c r="T250" i="1" s="1"/>
  <c r="V250" i="1" s="1"/>
  <c r="R251" i="1"/>
  <c r="S251" i="1" s="1"/>
  <c r="T251" i="1" s="1"/>
  <c r="V251" i="1" s="1"/>
  <c r="R252" i="1"/>
  <c r="S252" i="1" s="1"/>
  <c r="T252" i="1" s="1"/>
  <c r="V252" i="1" s="1"/>
  <c r="R253" i="1"/>
  <c r="S253" i="1" s="1"/>
  <c r="T253" i="1" s="1"/>
  <c r="V253" i="1" s="1"/>
  <c r="R254" i="1"/>
  <c r="S254" i="1" s="1"/>
  <c r="T254" i="1" s="1"/>
  <c r="V254" i="1" s="1"/>
  <c r="R255" i="1"/>
  <c r="S255" i="1" s="1"/>
  <c r="T255" i="1" s="1"/>
  <c r="V255" i="1" s="1"/>
  <c r="R256" i="1"/>
  <c r="S256" i="1" s="1"/>
  <c r="T256" i="1" s="1"/>
  <c r="V256" i="1" s="1"/>
  <c r="R257" i="1"/>
  <c r="S257" i="1" s="1"/>
  <c r="T257" i="1" s="1"/>
  <c r="V257" i="1" s="1"/>
  <c r="R258" i="1"/>
  <c r="S258" i="1" s="1"/>
  <c r="T258" i="1" s="1"/>
  <c r="V258" i="1" s="1"/>
  <c r="R259" i="1"/>
  <c r="S259" i="1" s="1"/>
  <c r="T259" i="1" s="1"/>
  <c r="V259" i="1" s="1"/>
  <c r="R260" i="1"/>
  <c r="S260" i="1" s="1"/>
  <c r="T260" i="1" s="1"/>
  <c r="V260" i="1" s="1"/>
  <c r="R261" i="1"/>
  <c r="S261" i="1" s="1"/>
  <c r="T261" i="1" s="1"/>
  <c r="V261" i="1" s="1"/>
  <c r="R262" i="1"/>
  <c r="S262" i="1" s="1"/>
  <c r="T262" i="1" s="1"/>
  <c r="V262" i="1" s="1"/>
  <c r="R263" i="1"/>
  <c r="S263" i="1" s="1"/>
  <c r="T263" i="1" s="1"/>
  <c r="V263" i="1" s="1"/>
  <c r="R264" i="1"/>
  <c r="S264" i="1" s="1"/>
  <c r="T264" i="1" s="1"/>
  <c r="V264" i="1" s="1"/>
  <c r="R265" i="1"/>
  <c r="S265" i="1" s="1"/>
  <c r="T265" i="1" s="1"/>
  <c r="V265" i="1" s="1"/>
  <c r="R266" i="1"/>
  <c r="S266" i="1" s="1"/>
  <c r="T266" i="1" s="1"/>
  <c r="V266" i="1" s="1"/>
  <c r="R267" i="1"/>
  <c r="S267" i="1" s="1"/>
  <c r="T267" i="1" s="1"/>
  <c r="V267" i="1" s="1"/>
  <c r="R268" i="1"/>
  <c r="S268" i="1" s="1"/>
  <c r="T268" i="1" s="1"/>
  <c r="V268" i="1" s="1"/>
  <c r="R269" i="1"/>
  <c r="S269" i="1" s="1"/>
  <c r="T269" i="1" s="1"/>
  <c r="V269" i="1" s="1"/>
  <c r="R270" i="1"/>
  <c r="S270" i="1" s="1"/>
  <c r="T270" i="1" s="1"/>
  <c r="V270" i="1" s="1"/>
  <c r="R271" i="1"/>
  <c r="S271" i="1" s="1"/>
  <c r="T271" i="1" s="1"/>
  <c r="V271" i="1" s="1"/>
  <c r="R272" i="1"/>
  <c r="S272" i="1" s="1"/>
  <c r="T272" i="1" s="1"/>
  <c r="V272" i="1" s="1"/>
  <c r="R273" i="1"/>
  <c r="S273" i="1" s="1"/>
  <c r="T273" i="1" s="1"/>
  <c r="V273" i="1" s="1"/>
  <c r="R274" i="1"/>
  <c r="S274" i="1" s="1"/>
  <c r="T274" i="1" s="1"/>
  <c r="V274" i="1" s="1"/>
  <c r="R275" i="1"/>
  <c r="S275" i="1" s="1"/>
  <c r="T275" i="1" s="1"/>
  <c r="V275" i="1" s="1"/>
  <c r="R276" i="1"/>
  <c r="S276" i="1" s="1"/>
  <c r="T276" i="1" s="1"/>
  <c r="V276" i="1" s="1"/>
  <c r="R277" i="1"/>
  <c r="S277" i="1" s="1"/>
  <c r="T277" i="1" s="1"/>
  <c r="V277" i="1" s="1"/>
  <c r="R278" i="1"/>
  <c r="S278" i="1" s="1"/>
  <c r="T278" i="1" s="1"/>
  <c r="V278" i="1" s="1"/>
  <c r="R279" i="1"/>
  <c r="S279" i="1" s="1"/>
  <c r="T279" i="1" s="1"/>
  <c r="V279" i="1" s="1"/>
  <c r="R280" i="1"/>
  <c r="S280" i="1" s="1"/>
  <c r="T280" i="1" s="1"/>
  <c r="V280" i="1" s="1"/>
  <c r="R281" i="1"/>
  <c r="S281" i="1" s="1"/>
  <c r="T281" i="1" s="1"/>
  <c r="V281" i="1" s="1"/>
  <c r="R282" i="1"/>
  <c r="S282" i="1" s="1"/>
  <c r="T282" i="1" s="1"/>
  <c r="V282" i="1" s="1"/>
  <c r="R283" i="1"/>
  <c r="S283" i="1" s="1"/>
  <c r="T283" i="1" s="1"/>
  <c r="V283" i="1" s="1"/>
  <c r="R284" i="1"/>
  <c r="S284" i="1" s="1"/>
  <c r="T284" i="1" s="1"/>
  <c r="V284" i="1" s="1"/>
  <c r="R285" i="1"/>
  <c r="S285" i="1" s="1"/>
  <c r="T285" i="1" s="1"/>
  <c r="V285" i="1" s="1"/>
  <c r="R286" i="1"/>
  <c r="S286" i="1" s="1"/>
  <c r="T286" i="1" s="1"/>
  <c r="V286" i="1" s="1"/>
  <c r="R287" i="1"/>
  <c r="S287" i="1" s="1"/>
  <c r="T287" i="1" s="1"/>
  <c r="V287" i="1" s="1"/>
  <c r="R288" i="1"/>
  <c r="S288" i="1" s="1"/>
  <c r="T288" i="1" s="1"/>
  <c r="V288" i="1" s="1"/>
  <c r="R289" i="1"/>
  <c r="S289" i="1" s="1"/>
  <c r="T289" i="1" s="1"/>
  <c r="V289" i="1" s="1"/>
  <c r="R290" i="1"/>
  <c r="S290" i="1" s="1"/>
  <c r="T290" i="1" s="1"/>
  <c r="V290" i="1" s="1"/>
  <c r="R291" i="1"/>
  <c r="S291" i="1" s="1"/>
  <c r="T291" i="1" s="1"/>
  <c r="V291" i="1" s="1"/>
  <c r="R292" i="1"/>
  <c r="S292" i="1" s="1"/>
  <c r="T292" i="1" s="1"/>
  <c r="V292" i="1" s="1"/>
  <c r="R293" i="1"/>
  <c r="S293" i="1" s="1"/>
  <c r="T293" i="1" s="1"/>
  <c r="V293" i="1" s="1"/>
  <c r="R294" i="1"/>
  <c r="S294" i="1" s="1"/>
  <c r="T294" i="1" s="1"/>
  <c r="V294" i="1" s="1"/>
  <c r="R295" i="1"/>
  <c r="S295" i="1" s="1"/>
  <c r="T295" i="1" s="1"/>
  <c r="V295" i="1" s="1"/>
  <c r="R296" i="1"/>
  <c r="S296" i="1" s="1"/>
  <c r="T296" i="1" s="1"/>
  <c r="V296" i="1" s="1"/>
  <c r="R297" i="1"/>
  <c r="S297" i="1" s="1"/>
  <c r="T297" i="1" s="1"/>
  <c r="V297" i="1" s="1"/>
  <c r="R298" i="1"/>
  <c r="S298" i="1" s="1"/>
  <c r="T298" i="1" s="1"/>
  <c r="V298" i="1" s="1"/>
  <c r="R299" i="1"/>
  <c r="S299" i="1" s="1"/>
  <c r="T299" i="1" s="1"/>
  <c r="V299" i="1" s="1"/>
  <c r="R300" i="1"/>
  <c r="S300" i="1" s="1"/>
  <c r="T300" i="1" s="1"/>
  <c r="V300" i="1" s="1"/>
  <c r="R301" i="1"/>
  <c r="S301" i="1" s="1"/>
  <c r="T301" i="1" s="1"/>
  <c r="V301" i="1" s="1"/>
  <c r="R302" i="1"/>
  <c r="S302" i="1" s="1"/>
  <c r="T302" i="1" s="1"/>
  <c r="V302" i="1" s="1"/>
  <c r="R303" i="1"/>
  <c r="S303" i="1" s="1"/>
  <c r="T303" i="1" s="1"/>
  <c r="V303" i="1" s="1"/>
  <c r="R304" i="1"/>
  <c r="S304" i="1" s="1"/>
  <c r="T304" i="1" s="1"/>
  <c r="V304" i="1" s="1"/>
  <c r="R305" i="1"/>
  <c r="S305" i="1" s="1"/>
  <c r="T305" i="1" s="1"/>
  <c r="V305" i="1" s="1"/>
  <c r="R306" i="1"/>
  <c r="S306" i="1" s="1"/>
  <c r="T306" i="1" s="1"/>
  <c r="V306" i="1" s="1"/>
  <c r="R307" i="1"/>
  <c r="S307" i="1" s="1"/>
  <c r="T307" i="1" s="1"/>
  <c r="V307" i="1" s="1"/>
  <c r="R308" i="1"/>
  <c r="S308" i="1" s="1"/>
  <c r="T308" i="1" s="1"/>
  <c r="V308" i="1" s="1"/>
  <c r="R309" i="1"/>
  <c r="S309" i="1" s="1"/>
  <c r="T309" i="1" s="1"/>
  <c r="V309" i="1" s="1"/>
  <c r="R310" i="1"/>
  <c r="S310" i="1" s="1"/>
  <c r="T310" i="1" s="1"/>
  <c r="V310" i="1" s="1"/>
  <c r="R311" i="1"/>
  <c r="S311" i="1" s="1"/>
  <c r="T311" i="1" s="1"/>
  <c r="V311" i="1" s="1"/>
  <c r="R312" i="1"/>
  <c r="S312" i="1" s="1"/>
  <c r="T312" i="1" s="1"/>
  <c r="V312" i="1" s="1"/>
  <c r="R313" i="1"/>
  <c r="S313" i="1" s="1"/>
  <c r="T313" i="1" s="1"/>
  <c r="V313" i="1" s="1"/>
  <c r="R314" i="1"/>
  <c r="S314" i="1" s="1"/>
  <c r="T314" i="1" s="1"/>
  <c r="V314" i="1" s="1"/>
  <c r="R315" i="1"/>
  <c r="S315" i="1" s="1"/>
  <c r="T315" i="1" s="1"/>
  <c r="V315" i="1" s="1"/>
  <c r="R316" i="1"/>
  <c r="S316" i="1" s="1"/>
  <c r="T316" i="1" s="1"/>
  <c r="V316" i="1" s="1"/>
  <c r="R317" i="1"/>
  <c r="S317" i="1" s="1"/>
  <c r="T317" i="1" s="1"/>
  <c r="V317" i="1" s="1"/>
  <c r="R318" i="1"/>
  <c r="S318" i="1" s="1"/>
  <c r="T318" i="1" s="1"/>
  <c r="V318" i="1" s="1"/>
  <c r="R319" i="1"/>
  <c r="S319" i="1" s="1"/>
  <c r="T319" i="1" s="1"/>
  <c r="V319" i="1" s="1"/>
  <c r="R320" i="1"/>
  <c r="S320" i="1" s="1"/>
  <c r="T320" i="1" s="1"/>
  <c r="V320" i="1" s="1"/>
  <c r="R321" i="1"/>
  <c r="S321" i="1" s="1"/>
  <c r="T321" i="1" s="1"/>
  <c r="V321" i="1" s="1"/>
  <c r="R322" i="1"/>
  <c r="S322" i="1" s="1"/>
  <c r="T322" i="1" s="1"/>
  <c r="V322" i="1" s="1"/>
  <c r="R323" i="1"/>
  <c r="S323" i="1" s="1"/>
  <c r="T323" i="1" s="1"/>
  <c r="V323" i="1" s="1"/>
  <c r="R324" i="1"/>
  <c r="S324" i="1" s="1"/>
  <c r="T324" i="1" s="1"/>
  <c r="V324" i="1" s="1"/>
  <c r="R325" i="1"/>
  <c r="S325" i="1" s="1"/>
  <c r="T325" i="1" s="1"/>
  <c r="V325" i="1" s="1"/>
  <c r="R326" i="1"/>
  <c r="S326" i="1" s="1"/>
  <c r="T326" i="1" s="1"/>
  <c r="V326" i="1" s="1"/>
  <c r="R327" i="1"/>
  <c r="S327" i="1" s="1"/>
  <c r="T327" i="1" s="1"/>
  <c r="V327" i="1" s="1"/>
  <c r="R328" i="1"/>
  <c r="S328" i="1" s="1"/>
  <c r="T328" i="1" s="1"/>
  <c r="V328" i="1" s="1"/>
  <c r="R329" i="1"/>
  <c r="S329" i="1" s="1"/>
  <c r="T329" i="1" s="1"/>
  <c r="V329" i="1" s="1"/>
  <c r="R330" i="1"/>
  <c r="S330" i="1" s="1"/>
  <c r="T330" i="1" s="1"/>
  <c r="V330" i="1" s="1"/>
  <c r="R331" i="1"/>
  <c r="S331" i="1" s="1"/>
  <c r="T331" i="1" s="1"/>
  <c r="V331" i="1" s="1"/>
  <c r="R332" i="1"/>
  <c r="S332" i="1" s="1"/>
  <c r="T332" i="1" s="1"/>
  <c r="V332" i="1" s="1"/>
  <c r="R333" i="1"/>
  <c r="S333" i="1" s="1"/>
  <c r="T333" i="1" s="1"/>
  <c r="V333" i="1" s="1"/>
  <c r="R334" i="1"/>
  <c r="S334" i="1" s="1"/>
  <c r="T334" i="1" s="1"/>
  <c r="V334" i="1" s="1"/>
  <c r="R335" i="1"/>
  <c r="S335" i="1" s="1"/>
  <c r="T335" i="1" s="1"/>
  <c r="V335" i="1" s="1"/>
  <c r="R336" i="1"/>
  <c r="S336" i="1" s="1"/>
  <c r="T336" i="1" s="1"/>
  <c r="V336" i="1" s="1"/>
  <c r="R337" i="1"/>
  <c r="S337" i="1" s="1"/>
  <c r="T337" i="1" s="1"/>
  <c r="V337" i="1" s="1"/>
  <c r="R338" i="1"/>
  <c r="S338" i="1" s="1"/>
  <c r="T338" i="1" s="1"/>
  <c r="V338" i="1" s="1"/>
  <c r="R339" i="1"/>
  <c r="S339" i="1" s="1"/>
  <c r="T339" i="1" s="1"/>
  <c r="V339" i="1" s="1"/>
  <c r="R340" i="1"/>
  <c r="S340" i="1" s="1"/>
  <c r="T340" i="1" s="1"/>
  <c r="V340" i="1" s="1"/>
  <c r="R341" i="1"/>
  <c r="S341" i="1" s="1"/>
  <c r="T341" i="1" s="1"/>
  <c r="V341" i="1" s="1"/>
  <c r="R342" i="1"/>
  <c r="S342" i="1" s="1"/>
  <c r="T342" i="1" s="1"/>
  <c r="V342" i="1" s="1"/>
  <c r="R343" i="1"/>
  <c r="S343" i="1" s="1"/>
  <c r="T343" i="1" s="1"/>
  <c r="V343" i="1" s="1"/>
  <c r="R344" i="1"/>
  <c r="S344" i="1" s="1"/>
  <c r="T344" i="1" s="1"/>
  <c r="V344" i="1" s="1"/>
  <c r="R345" i="1"/>
  <c r="S345" i="1" s="1"/>
  <c r="T345" i="1" s="1"/>
  <c r="V345" i="1" s="1"/>
  <c r="R346" i="1"/>
  <c r="S346" i="1" s="1"/>
  <c r="T346" i="1" s="1"/>
  <c r="V346" i="1" s="1"/>
  <c r="R347" i="1"/>
  <c r="S347" i="1" s="1"/>
  <c r="T347" i="1" s="1"/>
  <c r="V347" i="1" s="1"/>
  <c r="R348" i="1"/>
  <c r="S348" i="1" s="1"/>
  <c r="T348" i="1" s="1"/>
  <c r="V348" i="1" s="1"/>
  <c r="R349" i="1"/>
  <c r="S349" i="1" s="1"/>
  <c r="T349" i="1" s="1"/>
  <c r="V349" i="1" s="1"/>
  <c r="R350" i="1"/>
  <c r="S350" i="1" s="1"/>
  <c r="T350" i="1" s="1"/>
  <c r="V350" i="1" s="1"/>
  <c r="R351" i="1"/>
  <c r="S351" i="1" s="1"/>
  <c r="T351" i="1" s="1"/>
  <c r="V351" i="1" s="1"/>
  <c r="R352" i="1"/>
  <c r="S352" i="1" s="1"/>
  <c r="T352" i="1" s="1"/>
  <c r="V352" i="1" s="1"/>
  <c r="R353" i="1"/>
  <c r="S353" i="1" s="1"/>
  <c r="T353" i="1" s="1"/>
  <c r="V353" i="1" s="1"/>
  <c r="R354" i="1"/>
  <c r="S354" i="1" s="1"/>
  <c r="T354" i="1" s="1"/>
  <c r="V354" i="1" s="1"/>
  <c r="R355" i="1"/>
  <c r="S355" i="1" s="1"/>
  <c r="T355" i="1" s="1"/>
  <c r="V355" i="1" s="1"/>
  <c r="R356" i="1"/>
  <c r="S356" i="1" s="1"/>
  <c r="T356" i="1" s="1"/>
  <c r="V356" i="1" s="1"/>
  <c r="R357" i="1"/>
  <c r="S357" i="1" s="1"/>
  <c r="T357" i="1" s="1"/>
  <c r="V357" i="1" s="1"/>
  <c r="R358" i="1"/>
  <c r="S358" i="1" s="1"/>
  <c r="T358" i="1" s="1"/>
  <c r="V358" i="1" s="1"/>
  <c r="R359" i="1"/>
  <c r="S359" i="1" s="1"/>
  <c r="T359" i="1" s="1"/>
  <c r="V359" i="1" s="1"/>
  <c r="R360" i="1"/>
  <c r="S360" i="1" s="1"/>
  <c r="T360" i="1" s="1"/>
  <c r="V360" i="1" s="1"/>
  <c r="R361" i="1"/>
  <c r="S361" i="1" s="1"/>
  <c r="T361" i="1" s="1"/>
  <c r="V361" i="1" s="1"/>
  <c r="R362" i="1"/>
  <c r="S362" i="1" s="1"/>
  <c r="T362" i="1" s="1"/>
  <c r="V362" i="1" s="1"/>
  <c r="R363" i="1"/>
  <c r="S363" i="1" s="1"/>
  <c r="T363" i="1" s="1"/>
  <c r="V363" i="1" s="1"/>
  <c r="R364" i="1"/>
  <c r="S364" i="1" s="1"/>
  <c r="T364" i="1" s="1"/>
  <c r="V364" i="1" s="1"/>
  <c r="R365" i="1"/>
  <c r="S365" i="1" s="1"/>
  <c r="T365" i="1" s="1"/>
  <c r="V365" i="1" s="1"/>
  <c r="R366" i="1"/>
  <c r="S366" i="1" s="1"/>
  <c r="T366" i="1" s="1"/>
  <c r="V366" i="1" s="1"/>
  <c r="R367" i="1"/>
  <c r="S367" i="1" s="1"/>
  <c r="T367" i="1" s="1"/>
  <c r="V367" i="1" s="1"/>
  <c r="R368" i="1"/>
  <c r="S368" i="1" s="1"/>
  <c r="T368" i="1" s="1"/>
  <c r="V368" i="1" s="1"/>
  <c r="R369" i="1"/>
  <c r="S369" i="1" s="1"/>
  <c r="T369" i="1" s="1"/>
  <c r="V369" i="1" s="1"/>
  <c r="R370" i="1"/>
  <c r="S370" i="1" s="1"/>
  <c r="T370" i="1" s="1"/>
  <c r="V370" i="1" s="1"/>
  <c r="R371" i="1"/>
  <c r="S371" i="1" s="1"/>
  <c r="T371" i="1" s="1"/>
  <c r="V371" i="1" s="1"/>
  <c r="R372" i="1"/>
  <c r="S372" i="1" s="1"/>
  <c r="T372" i="1" s="1"/>
  <c r="V372" i="1" s="1"/>
  <c r="R373" i="1"/>
  <c r="S373" i="1" s="1"/>
  <c r="T373" i="1" s="1"/>
  <c r="V373" i="1" s="1"/>
  <c r="R374" i="1"/>
  <c r="S374" i="1" s="1"/>
  <c r="T374" i="1" s="1"/>
  <c r="V374" i="1" s="1"/>
  <c r="R375" i="1"/>
  <c r="S375" i="1" s="1"/>
  <c r="T375" i="1" s="1"/>
  <c r="V375" i="1" s="1"/>
  <c r="R376" i="1"/>
  <c r="S376" i="1" s="1"/>
  <c r="T376" i="1" s="1"/>
  <c r="V376" i="1" s="1"/>
  <c r="R377" i="1"/>
  <c r="S377" i="1" s="1"/>
  <c r="T377" i="1" s="1"/>
  <c r="V377" i="1" s="1"/>
  <c r="R378" i="1"/>
  <c r="S378" i="1" s="1"/>
  <c r="T378" i="1" s="1"/>
  <c r="V378" i="1" s="1"/>
  <c r="R379" i="1"/>
  <c r="S379" i="1" s="1"/>
  <c r="T379" i="1" s="1"/>
  <c r="V379" i="1" s="1"/>
  <c r="R380" i="1"/>
  <c r="S380" i="1" s="1"/>
  <c r="T380" i="1" s="1"/>
  <c r="V380" i="1" s="1"/>
  <c r="R381" i="1"/>
  <c r="S381" i="1" s="1"/>
  <c r="T381" i="1" s="1"/>
  <c r="V381" i="1" s="1"/>
  <c r="R382" i="1"/>
  <c r="S382" i="1" s="1"/>
  <c r="T382" i="1" s="1"/>
  <c r="V382" i="1" s="1"/>
  <c r="R383" i="1"/>
  <c r="S383" i="1" s="1"/>
  <c r="T383" i="1" s="1"/>
  <c r="V383" i="1" s="1"/>
  <c r="R384" i="1"/>
  <c r="S384" i="1" s="1"/>
  <c r="T384" i="1" s="1"/>
  <c r="V384" i="1" s="1"/>
  <c r="R385" i="1"/>
  <c r="S385" i="1" s="1"/>
  <c r="T385" i="1" s="1"/>
  <c r="V385" i="1" s="1"/>
  <c r="R386" i="1"/>
  <c r="S386" i="1" s="1"/>
  <c r="T386" i="1" s="1"/>
  <c r="V386" i="1" s="1"/>
  <c r="R387" i="1"/>
  <c r="S387" i="1" s="1"/>
  <c r="T387" i="1" s="1"/>
  <c r="V387" i="1" s="1"/>
  <c r="R388" i="1"/>
  <c r="S388" i="1" s="1"/>
  <c r="T388" i="1" s="1"/>
  <c r="V388" i="1" s="1"/>
  <c r="R389" i="1"/>
  <c r="S389" i="1" s="1"/>
  <c r="T389" i="1" s="1"/>
  <c r="V389" i="1" s="1"/>
  <c r="R390" i="1"/>
  <c r="S390" i="1" s="1"/>
  <c r="T390" i="1" s="1"/>
  <c r="V390" i="1" s="1"/>
  <c r="R391" i="1"/>
  <c r="S391" i="1" s="1"/>
  <c r="T391" i="1" s="1"/>
  <c r="V391" i="1" s="1"/>
  <c r="R392" i="1"/>
  <c r="S392" i="1" s="1"/>
  <c r="T392" i="1" s="1"/>
  <c r="V392" i="1" s="1"/>
  <c r="R393" i="1"/>
  <c r="S393" i="1" s="1"/>
  <c r="T393" i="1" s="1"/>
  <c r="V393" i="1" s="1"/>
  <c r="R394" i="1"/>
  <c r="S394" i="1" s="1"/>
  <c r="T394" i="1" s="1"/>
  <c r="V394" i="1" s="1"/>
  <c r="R395" i="1"/>
  <c r="S395" i="1" s="1"/>
  <c r="T395" i="1" s="1"/>
  <c r="V395" i="1" s="1"/>
  <c r="R396" i="1"/>
  <c r="S396" i="1" s="1"/>
  <c r="T396" i="1" s="1"/>
  <c r="V396" i="1" s="1"/>
  <c r="R397" i="1"/>
  <c r="S397" i="1" s="1"/>
  <c r="T397" i="1" s="1"/>
  <c r="V397" i="1" s="1"/>
  <c r="R398" i="1"/>
  <c r="S398" i="1" s="1"/>
  <c r="T398" i="1" s="1"/>
  <c r="V398" i="1" s="1"/>
  <c r="R399" i="1"/>
  <c r="S399" i="1" s="1"/>
  <c r="T399" i="1" s="1"/>
  <c r="V399" i="1" s="1"/>
  <c r="R400" i="1"/>
  <c r="S400" i="1" s="1"/>
  <c r="T400" i="1" s="1"/>
  <c r="V400" i="1" s="1"/>
  <c r="R401" i="1"/>
  <c r="S401" i="1" s="1"/>
  <c r="T401" i="1" s="1"/>
  <c r="V401" i="1" s="1"/>
  <c r="R402" i="1"/>
  <c r="S402" i="1" s="1"/>
  <c r="T402" i="1" s="1"/>
  <c r="V402" i="1" s="1"/>
  <c r="R403" i="1"/>
  <c r="S403" i="1" s="1"/>
  <c r="T403" i="1" s="1"/>
  <c r="V403" i="1" s="1"/>
  <c r="R404" i="1"/>
  <c r="S404" i="1" s="1"/>
  <c r="T404" i="1" s="1"/>
  <c r="V404" i="1" s="1"/>
  <c r="R405" i="1"/>
  <c r="S405" i="1" s="1"/>
  <c r="T405" i="1" s="1"/>
  <c r="V405" i="1" s="1"/>
  <c r="R406" i="1"/>
  <c r="S406" i="1" s="1"/>
  <c r="T406" i="1" s="1"/>
  <c r="V406" i="1" s="1"/>
  <c r="R407" i="1"/>
  <c r="S407" i="1" s="1"/>
  <c r="T407" i="1" s="1"/>
  <c r="V407" i="1" s="1"/>
  <c r="R408" i="1"/>
  <c r="S408" i="1" s="1"/>
  <c r="T408" i="1" s="1"/>
  <c r="V408" i="1" s="1"/>
  <c r="R409" i="1"/>
  <c r="S409" i="1" s="1"/>
  <c r="T409" i="1" s="1"/>
  <c r="V409" i="1" s="1"/>
  <c r="R410" i="1"/>
  <c r="S410" i="1" s="1"/>
  <c r="T410" i="1" s="1"/>
  <c r="V410" i="1" s="1"/>
  <c r="R411" i="1"/>
  <c r="S411" i="1" s="1"/>
  <c r="T411" i="1" s="1"/>
  <c r="V411" i="1" s="1"/>
  <c r="R412" i="1"/>
  <c r="S412" i="1" s="1"/>
  <c r="T412" i="1" s="1"/>
  <c r="V412" i="1" s="1"/>
  <c r="R413" i="1"/>
  <c r="S413" i="1" s="1"/>
  <c r="T413" i="1" s="1"/>
  <c r="V413" i="1" s="1"/>
  <c r="R414" i="1"/>
  <c r="S414" i="1" s="1"/>
  <c r="T414" i="1" s="1"/>
  <c r="V414" i="1" s="1"/>
  <c r="R415" i="1"/>
  <c r="S415" i="1" s="1"/>
  <c r="T415" i="1" s="1"/>
  <c r="V415" i="1" s="1"/>
  <c r="R416" i="1"/>
  <c r="S416" i="1" s="1"/>
  <c r="T416" i="1" s="1"/>
  <c r="V416" i="1" s="1"/>
  <c r="R417" i="1"/>
  <c r="S417" i="1" s="1"/>
  <c r="T417" i="1" s="1"/>
  <c r="V417" i="1" s="1"/>
  <c r="R418" i="1"/>
  <c r="S418" i="1" s="1"/>
  <c r="T418" i="1" s="1"/>
  <c r="V418" i="1" s="1"/>
  <c r="R419" i="1"/>
  <c r="S419" i="1" s="1"/>
  <c r="T419" i="1" s="1"/>
  <c r="V419" i="1" s="1"/>
  <c r="R420" i="1"/>
  <c r="S420" i="1" s="1"/>
  <c r="T420" i="1" s="1"/>
  <c r="V420" i="1" s="1"/>
  <c r="R421" i="1"/>
  <c r="S421" i="1" s="1"/>
  <c r="T421" i="1" s="1"/>
  <c r="V421" i="1" s="1"/>
  <c r="R422" i="1"/>
  <c r="S422" i="1" s="1"/>
  <c r="T422" i="1" s="1"/>
  <c r="V422" i="1" s="1"/>
  <c r="R423" i="1"/>
  <c r="S423" i="1" s="1"/>
  <c r="T423" i="1" s="1"/>
  <c r="V423" i="1" s="1"/>
  <c r="R424" i="1"/>
  <c r="S424" i="1" s="1"/>
  <c r="T424" i="1" s="1"/>
  <c r="V424" i="1" s="1"/>
  <c r="R425" i="1"/>
  <c r="S425" i="1" s="1"/>
  <c r="T425" i="1" s="1"/>
  <c r="V425" i="1" s="1"/>
  <c r="R426" i="1"/>
  <c r="S426" i="1" s="1"/>
  <c r="T426" i="1" s="1"/>
  <c r="V426" i="1" s="1"/>
  <c r="R427" i="1"/>
  <c r="S427" i="1" s="1"/>
  <c r="T427" i="1" s="1"/>
  <c r="V427" i="1" s="1"/>
  <c r="R428" i="1"/>
  <c r="S428" i="1" s="1"/>
  <c r="T428" i="1" s="1"/>
  <c r="V428" i="1" s="1"/>
  <c r="R429" i="1"/>
  <c r="S429" i="1" s="1"/>
  <c r="T429" i="1" s="1"/>
  <c r="V429" i="1" s="1"/>
  <c r="R430" i="1"/>
  <c r="S430" i="1" s="1"/>
  <c r="T430" i="1" s="1"/>
  <c r="V430" i="1" s="1"/>
  <c r="R431" i="1"/>
  <c r="S431" i="1" s="1"/>
  <c r="T431" i="1" s="1"/>
  <c r="V431" i="1" s="1"/>
  <c r="R432" i="1"/>
  <c r="S432" i="1" s="1"/>
  <c r="T432" i="1" s="1"/>
  <c r="V432" i="1" s="1"/>
  <c r="R433" i="1"/>
  <c r="S433" i="1" s="1"/>
  <c r="T433" i="1" s="1"/>
  <c r="V433" i="1" s="1"/>
  <c r="R434" i="1"/>
  <c r="S434" i="1" s="1"/>
  <c r="T434" i="1" s="1"/>
  <c r="V434" i="1" s="1"/>
  <c r="R435" i="1"/>
  <c r="S435" i="1" s="1"/>
  <c r="T435" i="1" s="1"/>
  <c r="V435" i="1" s="1"/>
  <c r="R436" i="1"/>
  <c r="S436" i="1" s="1"/>
  <c r="T436" i="1" s="1"/>
  <c r="V436" i="1" s="1"/>
  <c r="R437" i="1"/>
  <c r="S437" i="1" s="1"/>
  <c r="T437" i="1" s="1"/>
  <c r="V437" i="1" s="1"/>
  <c r="R438" i="1"/>
  <c r="S438" i="1" s="1"/>
  <c r="T438" i="1" s="1"/>
  <c r="V438" i="1" s="1"/>
  <c r="R439" i="1"/>
  <c r="S439" i="1" s="1"/>
  <c r="T439" i="1" s="1"/>
  <c r="V439" i="1" s="1"/>
  <c r="R440" i="1"/>
  <c r="S440" i="1" s="1"/>
  <c r="T440" i="1" s="1"/>
  <c r="V440" i="1" s="1"/>
  <c r="R441" i="1"/>
  <c r="S441" i="1" s="1"/>
  <c r="T441" i="1" s="1"/>
  <c r="V441" i="1" s="1"/>
  <c r="R442" i="1"/>
  <c r="S442" i="1" s="1"/>
  <c r="T442" i="1" s="1"/>
  <c r="V442" i="1" s="1"/>
  <c r="R443" i="1"/>
  <c r="S443" i="1" s="1"/>
  <c r="T443" i="1" s="1"/>
  <c r="V443" i="1" s="1"/>
  <c r="R444" i="1"/>
  <c r="S444" i="1" s="1"/>
  <c r="T444" i="1" s="1"/>
  <c r="V444" i="1" s="1"/>
  <c r="R445" i="1"/>
  <c r="S445" i="1" s="1"/>
  <c r="T445" i="1" s="1"/>
  <c r="V445" i="1" s="1"/>
  <c r="R446" i="1"/>
  <c r="S446" i="1" s="1"/>
  <c r="T446" i="1" s="1"/>
  <c r="V446" i="1" s="1"/>
  <c r="R447" i="1"/>
  <c r="S447" i="1" s="1"/>
  <c r="T447" i="1" s="1"/>
  <c r="V447" i="1" s="1"/>
  <c r="R448" i="1"/>
  <c r="S448" i="1" s="1"/>
  <c r="T448" i="1" s="1"/>
  <c r="V448" i="1" s="1"/>
  <c r="R449" i="1"/>
  <c r="S449" i="1" s="1"/>
  <c r="T449" i="1" s="1"/>
  <c r="V449" i="1" s="1"/>
  <c r="R450" i="1"/>
  <c r="S450" i="1" s="1"/>
  <c r="T450" i="1" s="1"/>
  <c r="V450" i="1" s="1"/>
  <c r="R451" i="1"/>
  <c r="S451" i="1" s="1"/>
  <c r="T451" i="1" s="1"/>
  <c r="V451" i="1" s="1"/>
  <c r="R452" i="1"/>
  <c r="S452" i="1" s="1"/>
  <c r="T452" i="1" s="1"/>
  <c r="V452" i="1" s="1"/>
  <c r="R453" i="1"/>
  <c r="S453" i="1" s="1"/>
  <c r="T453" i="1" s="1"/>
  <c r="V453" i="1" s="1"/>
  <c r="R454" i="1"/>
  <c r="S454" i="1" s="1"/>
  <c r="T454" i="1" s="1"/>
  <c r="V454" i="1" s="1"/>
  <c r="R455" i="1"/>
  <c r="S455" i="1" s="1"/>
  <c r="T455" i="1" s="1"/>
  <c r="V455" i="1" s="1"/>
  <c r="R456" i="1"/>
  <c r="S456" i="1" s="1"/>
  <c r="T456" i="1" s="1"/>
  <c r="V456" i="1" s="1"/>
  <c r="R457" i="1"/>
  <c r="S457" i="1" s="1"/>
  <c r="T457" i="1" s="1"/>
  <c r="V457" i="1" s="1"/>
  <c r="R458" i="1"/>
  <c r="S458" i="1" s="1"/>
  <c r="T458" i="1" s="1"/>
  <c r="V458" i="1" s="1"/>
  <c r="R459" i="1"/>
  <c r="S459" i="1" s="1"/>
  <c r="T459" i="1" s="1"/>
  <c r="V459" i="1" s="1"/>
  <c r="R460" i="1"/>
  <c r="S460" i="1" s="1"/>
  <c r="T460" i="1" s="1"/>
  <c r="V460" i="1" s="1"/>
  <c r="R461" i="1"/>
  <c r="S461" i="1" s="1"/>
  <c r="T461" i="1" s="1"/>
  <c r="V461" i="1" s="1"/>
  <c r="R462" i="1"/>
  <c r="S462" i="1" s="1"/>
  <c r="T462" i="1" s="1"/>
  <c r="V462" i="1" s="1"/>
  <c r="R463" i="1"/>
  <c r="S463" i="1" s="1"/>
  <c r="T463" i="1" s="1"/>
  <c r="V463" i="1" s="1"/>
  <c r="R464" i="1"/>
  <c r="S464" i="1" s="1"/>
  <c r="T464" i="1" s="1"/>
  <c r="V464" i="1" s="1"/>
  <c r="R465" i="1"/>
  <c r="S465" i="1" s="1"/>
  <c r="T465" i="1" s="1"/>
  <c r="V465" i="1" s="1"/>
  <c r="R466" i="1"/>
  <c r="S466" i="1" s="1"/>
  <c r="T466" i="1" s="1"/>
  <c r="V466" i="1" s="1"/>
  <c r="R467" i="1"/>
  <c r="S467" i="1" s="1"/>
  <c r="T467" i="1" s="1"/>
  <c r="V467" i="1" s="1"/>
  <c r="R468" i="1"/>
  <c r="S468" i="1" s="1"/>
  <c r="T468" i="1" s="1"/>
  <c r="V468" i="1" s="1"/>
  <c r="R469" i="1"/>
  <c r="S469" i="1" s="1"/>
  <c r="T469" i="1" s="1"/>
  <c r="V469" i="1" s="1"/>
  <c r="R470" i="1"/>
  <c r="S470" i="1" s="1"/>
  <c r="T470" i="1" s="1"/>
  <c r="V470" i="1" s="1"/>
  <c r="R471" i="1"/>
  <c r="S471" i="1" s="1"/>
  <c r="T471" i="1" s="1"/>
  <c r="V471" i="1" s="1"/>
  <c r="R472" i="1"/>
  <c r="S472" i="1" s="1"/>
  <c r="T472" i="1" s="1"/>
  <c r="V472" i="1" s="1"/>
  <c r="R473" i="1"/>
  <c r="S473" i="1" s="1"/>
  <c r="T473" i="1" s="1"/>
  <c r="V473" i="1" s="1"/>
  <c r="R474" i="1"/>
  <c r="S474" i="1" s="1"/>
  <c r="T474" i="1" s="1"/>
  <c r="V474" i="1" s="1"/>
  <c r="R475" i="1"/>
  <c r="S475" i="1" s="1"/>
  <c r="T475" i="1" s="1"/>
  <c r="V475" i="1" s="1"/>
  <c r="R476" i="1"/>
  <c r="S476" i="1" s="1"/>
  <c r="T476" i="1" s="1"/>
  <c r="V476" i="1" s="1"/>
  <c r="R477" i="1"/>
  <c r="S477" i="1" s="1"/>
  <c r="T477" i="1" s="1"/>
  <c r="V477" i="1" s="1"/>
  <c r="R478" i="1"/>
  <c r="S478" i="1" s="1"/>
  <c r="T478" i="1" s="1"/>
  <c r="V478" i="1" s="1"/>
  <c r="R479" i="1"/>
  <c r="S479" i="1" s="1"/>
  <c r="T479" i="1" s="1"/>
  <c r="V479" i="1" s="1"/>
  <c r="R480" i="1"/>
  <c r="S480" i="1" s="1"/>
  <c r="T480" i="1" s="1"/>
  <c r="V480" i="1" s="1"/>
  <c r="R481" i="1"/>
  <c r="S481" i="1" s="1"/>
  <c r="T481" i="1" s="1"/>
  <c r="V481" i="1" s="1"/>
  <c r="R482" i="1"/>
  <c r="S482" i="1" s="1"/>
  <c r="T482" i="1" s="1"/>
  <c r="V482" i="1" s="1"/>
  <c r="R483" i="1"/>
  <c r="S483" i="1" s="1"/>
  <c r="T483" i="1" s="1"/>
  <c r="V483" i="1" s="1"/>
  <c r="R484" i="1"/>
  <c r="S484" i="1" s="1"/>
  <c r="T484" i="1" s="1"/>
  <c r="V484" i="1" s="1"/>
  <c r="R485" i="1"/>
  <c r="S485" i="1" s="1"/>
  <c r="T485" i="1" s="1"/>
  <c r="V485" i="1" s="1"/>
  <c r="R486" i="1"/>
  <c r="S486" i="1" s="1"/>
  <c r="T486" i="1" s="1"/>
  <c r="V486" i="1" s="1"/>
  <c r="R487" i="1"/>
  <c r="S487" i="1" s="1"/>
  <c r="T487" i="1" s="1"/>
  <c r="V487" i="1" s="1"/>
  <c r="R488" i="1"/>
  <c r="S488" i="1" s="1"/>
  <c r="T488" i="1" s="1"/>
  <c r="V488" i="1" s="1"/>
  <c r="R489" i="1"/>
  <c r="S489" i="1" s="1"/>
  <c r="T489" i="1" s="1"/>
  <c r="V489" i="1" s="1"/>
  <c r="R490" i="1"/>
  <c r="S490" i="1" s="1"/>
  <c r="T490" i="1" s="1"/>
  <c r="V490" i="1" s="1"/>
  <c r="R491" i="1"/>
  <c r="S491" i="1" s="1"/>
  <c r="T491" i="1" s="1"/>
  <c r="V491" i="1" s="1"/>
  <c r="R492" i="1"/>
  <c r="S492" i="1" s="1"/>
  <c r="T492" i="1" s="1"/>
  <c r="V492" i="1" s="1"/>
  <c r="R493" i="1"/>
  <c r="S493" i="1" s="1"/>
  <c r="T493" i="1" s="1"/>
  <c r="V493" i="1" s="1"/>
  <c r="R494" i="1"/>
  <c r="S494" i="1" s="1"/>
  <c r="T494" i="1" s="1"/>
  <c r="V494" i="1" s="1"/>
  <c r="R495" i="1"/>
  <c r="S495" i="1" s="1"/>
  <c r="T495" i="1" s="1"/>
  <c r="V495" i="1" s="1"/>
  <c r="R496" i="1"/>
  <c r="S496" i="1" s="1"/>
  <c r="T496" i="1" s="1"/>
  <c r="V496" i="1" s="1"/>
  <c r="R497" i="1"/>
  <c r="S497" i="1" s="1"/>
  <c r="T497" i="1" s="1"/>
  <c r="V497" i="1" s="1"/>
  <c r="R498" i="1"/>
  <c r="S498" i="1" s="1"/>
  <c r="T498" i="1" s="1"/>
  <c r="V498" i="1" s="1"/>
  <c r="R499" i="1"/>
  <c r="S499" i="1" s="1"/>
  <c r="T499" i="1" s="1"/>
  <c r="V499" i="1" s="1"/>
  <c r="R500" i="1"/>
  <c r="S500" i="1" s="1"/>
  <c r="T500" i="1" s="1"/>
  <c r="V500" i="1" s="1"/>
  <c r="R501" i="1"/>
  <c r="S501" i="1" s="1"/>
  <c r="T501" i="1" s="1"/>
  <c r="V501" i="1" s="1"/>
  <c r="R502" i="1"/>
  <c r="S502" i="1" s="1"/>
  <c r="T502" i="1" s="1"/>
  <c r="V502" i="1" s="1"/>
  <c r="R503" i="1"/>
  <c r="S503" i="1" s="1"/>
  <c r="T503" i="1" s="1"/>
  <c r="V503" i="1" s="1"/>
  <c r="R504" i="1"/>
  <c r="S504" i="1" s="1"/>
  <c r="T504" i="1" s="1"/>
  <c r="V504" i="1" s="1"/>
  <c r="R505" i="1"/>
  <c r="S505" i="1" s="1"/>
  <c r="T505" i="1" s="1"/>
  <c r="V505" i="1" s="1"/>
  <c r="R506" i="1"/>
  <c r="S506" i="1" s="1"/>
  <c r="T506" i="1" s="1"/>
  <c r="V506" i="1" s="1"/>
  <c r="R507" i="1"/>
  <c r="S507" i="1" s="1"/>
  <c r="T507" i="1" s="1"/>
  <c r="V507" i="1" s="1"/>
  <c r="R508" i="1"/>
  <c r="S508" i="1" s="1"/>
  <c r="T508" i="1" s="1"/>
  <c r="V508" i="1" s="1"/>
  <c r="R509" i="1"/>
  <c r="S509" i="1" s="1"/>
  <c r="T509" i="1" s="1"/>
  <c r="V509" i="1" s="1"/>
  <c r="R510" i="1"/>
  <c r="S510" i="1" s="1"/>
  <c r="T510" i="1" s="1"/>
  <c r="V510" i="1" s="1"/>
  <c r="R511" i="1"/>
  <c r="S511" i="1" s="1"/>
  <c r="T511" i="1" s="1"/>
  <c r="V511" i="1" s="1"/>
  <c r="R512" i="1"/>
  <c r="S512" i="1" s="1"/>
  <c r="T512" i="1" s="1"/>
  <c r="V512" i="1" s="1"/>
  <c r="R513" i="1"/>
  <c r="S513" i="1" s="1"/>
  <c r="T513" i="1" s="1"/>
  <c r="V513" i="1" s="1"/>
  <c r="R514" i="1"/>
  <c r="S514" i="1" s="1"/>
  <c r="T514" i="1" s="1"/>
  <c r="V514" i="1" s="1"/>
  <c r="R515" i="1"/>
  <c r="S515" i="1" s="1"/>
  <c r="T515" i="1" s="1"/>
  <c r="V515" i="1" s="1"/>
  <c r="R516" i="1"/>
  <c r="S516" i="1" s="1"/>
  <c r="T516" i="1" s="1"/>
  <c r="V516" i="1" s="1"/>
  <c r="R517" i="1"/>
  <c r="S517" i="1" s="1"/>
  <c r="T517" i="1" s="1"/>
  <c r="V517" i="1" s="1"/>
  <c r="R518" i="1"/>
  <c r="S518" i="1" s="1"/>
  <c r="T518" i="1" s="1"/>
  <c r="V518" i="1" s="1"/>
  <c r="R519" i="1"/>
  <c r="S519" i="1" s="1"/>
  <c r="T519" i="1" s="1"/>
  <c r="V519" i="1" s="1"/>
  <c r="R520" i="1"/>
  <c r="S520" i="1" s="1"/>
  <c r="T520" i="1" s="1"/>
  <c r="V520" i="1" s="1"/>
  <c r="R521" i="1"/>
  <c r="S521" i="1" s="1"/>
  <c r="T521" i="1" s="1"/>
  <c r="V521" i="1" s="1"/>
  <c r="R522" i="1"/>
  <c r="S522" i="1" s="1"/>
  <c r="T522" i="1" s="1"/>
  <c r="V522" i="1" s="1"/>
  <c r="R523" i="1"/>
  <c r="S523" i="1" s="1"/>
  <c r="T523" i="1" s="1"/>
  <c r="V523" i="1" s="1"/>
  <c r="R524" i="1"/>
  <c r="S524" i="1" s="1"/>
  <c r="T524" i="1" s="1"/>
  <c r="V524" i="1" s="1"/>
  <c r="R525" i="1"/>
  <c r="S525" i="1" s="1"/>
  <c r="T525" i="1" s="1"/>
  <c r="V525" i="1" s="1"/>
  <c r="R526" i="1"/>
  <c r="S526" i="1" s="1"/>
  <c r="T526" i="1" s="1"/>
  <c r="V526" i="1" s="1"/>
  <c r="R527" i="1"/>
  <c r="S527" i="1" s="1"/>
  <c r="T527" i="1" s="1"/>
  <c r="V527" i="1" s="1"/>
  <c r="R528" i="1"/>
  <c r="S528" i="1" s="1"/>
  <c r="T528" i="1" s="1"/>
  <c r="V528" i="1" s="1"/>
  <c r="R529" i="1"/>
  <c r="S529" i="1" s="1"/>
  <c r="T529" i="1" s="1"/>
  <c r="V529" i="1" s="1"/>
  <c r="R530" i="1"/>
  <c r="S530" i="1" s="1"/>
  <c r="T530" i="1" s="1"/>
  <c r="V530" i="1" s="1"/>
  <c r="R531" i="1"/>
  <c r="S531" i="1" s="1"/>
  <c r="T531" i="1" s="1"/>
  <c r="V531" i="1" s="1"/>
  <c r="R532" i="1"/>
  <c r="S532" i="1" s="1"/>
  <c r="T532" i="1" s="1"/>
  <c r="V532" i="1" s="1"/>
  <c r="R533" i="1"/>
  <c r="S533" i="1" s="1"/>
  <c r="T533" i="1" s="1"/>
  <c r="V533" i="1" s="1"/>
  <c r="R534" i="1"/>
  <c r="S534" i="1" s="1"/>
  <c r="T534" i="1" s="1"/>
  <c r="V534" i="1" s="1"/>
  <c r="R535" i="1"/>
  <c r="S535" i="1" s="1"/>
  <c r="T535" i="1" s="1"/>
  <c r="V535" i="1" s="1"/>
  <c r="R536" i="1"/>
  <c r="S536" i="1" s="1"/>
  <c r="T536" i="1" s="1"/>
  <c r="V536" i="1" s="1"/>
  <c r="R537" i="1"/>
  <c r="S537" i="1" s="1"/>
  <c r="T537" i="1" s="1"/>
  <c r="V537" i="1" s="1"/>
  <c r="R538" i="1"/>
  <c r="S538" i="1" s="1"/>
  <c r="T538" i="1" s="1"/>
  <c r="V538" i="1" s="1"/>
  <c r="R539" i="1"/>
  <c r="S539" i="1" s="1"/>
  <c r="T539" i="1" s="1"/>
  <c r="V539" i="1" s="1"/>
  <c r="R540" i="1"/>
  <c r="S540" i="1" s="1"/>
  <c r="T540" i="1" s="1"/>
  <c r="V540" i="1" s="1"/>
  <c r="R541" i="1"/>
  <c r="S541" i="1" s="1"/>
  <c r="T541" i="1" s="1"/>
  <c r="V541" i="1" s="1"/>
  <c r="R542" i="1"/>
  <c r="S542" i="1" s="1"/>
  <c r="T542" i="1" s="1"/>
  <c r="V542" i="1" s="1"/>
  <c r="R543" i="1"/>
  <c r="S543" i="1" s="1"/>
  <c r="T543" i="1" s="1"/>
  <c r="V543" i="1" s="1"/>
  <c r="R544" i="1"/>
  <c r="S544" i="1" s="1"/>
  <c r="T544" i="1" s="1"/>
  <c r="V544" i="1" s="1"/>
  <c r="R545" i="1"/>
  <c r="S545" i="1" s="1"/>
  <c r="T545" i="1" s="1"/>
  <c r="V545" i="1" s="1"/>
  <c r="R546" i="1"/>
  <c r="S546" i="1" s="1"/>
  <c r="T546" i="1" s="1"/>
  <c r="V546" i="1" s="1"/>
  <c r="R547" i="1"/>
  <c r="S547" i="1" s="1"/>
  <c r="T547" i="1" s="1"/>
  <c r="V547" i="1" s="1"/>
  <c r="R548" i="1"/>
  <c r="S548" i="1" s="1"/>
  <c r="T548" i="1" s="1"/>
  <c r="V548" i="1" s="1"/>
  <c r="R549" i="1"/>
  <c r="S549" i="1" s="1"/>
  <c r="T549" i="1" s="1"/>
  <c r="V549" i="1" s="1"/>
  <c r="R550" i="1"/>
  <c r="S550" i="1" s="1"/>
  <c r="T550" i="1" s="1"/>
  <c r="V550" i="1" s="1"/>
  <c r="R551" i="1"/>
  <c r="S551" i="1" s="1"/>
  <c r="T551" i="1" s="1"/>
  <c r="V551" i="1" s="1"/>
  <c r="R552" i="1"/>
  <c r="S552" i="1" s="1"/>
  <c r="T552" i="1" s="1"/>
  <c r="V552" i="1" s="1"/>
  <c r="R553" i="1"/>
  <c r="S553" i="1" s="1"/>
  <c r="T553" i="1" s="1"/>
  <c r="V553" i="1" s="1"/>
  <c r="R554" i="1"/>
  <c r="S554" i="1" s="1"/>
  <c r="T554" i="1" s="1"/>
  <c r="V554" i="1" s="1"/>
  <c r="R555" i="1"/>
  <c r="S555" i="1" s="1"/>
  <c r="T555" i="1" s="1"/>
  <c r="V555" i="1" s="1"/>
  <c r="R556" i="1"/>
  <c r="S556" i="1" s="1"/>
  <c r="T556" i="1" s="1"/>
  <c r="V556" i="1" s="1"/>
  <c r="R557" i="1"/>
  <c r="S557" i="1" s="1"/>
  <c r="T557" i="1" s="1"/>
  <c r="V557" i="1" s="1"/>
  <c r="R558" i="1"/>
  <c r="S558" i="1" s="1"/>
  <c r="T558" i="1" s="1"/>
  <c r="V558" i="1" s="1"/>
  <c r="R559" i="1"/>
  <c r="S559" i="1" s="1"/>
  <c r="T559" i="1" s="1"/>
  <c r="V559" i="1" s="1"/>
  <c r="R560" i="1"/>
  <c r="S560" i="1" s="1"/>
  <c r="T560" i="1" s="1"/>
  <c r="V560" i="1" s="1"/>
  <c r="R561" i="1"/>
  <c r="S561" i="1" s="1"/>
  <c r="T561" i="1" s="1"/>
  <c r="V561" i="1" s="1"/>
  <c r="R562" i="1"/>
  <c r="S562" i="1" s="1"/>
  <c r="T562" i="1" s="1"/>
  <c r="V562" i="1" s="1"/>
  <c r="R563" i="1"/>
  <c r="S563" i="1" s="1"/>
  <c r="T563" i="1" s="1"/>
  <c r="V563" i="1" s="1"/>
  <c r="R564" i="1"/>
  <c r="S564" i="1" s="1"/>
  <c r="T564" i="1" s="1"/>
  <c r="V564" i="1" s="1"/>
  <c r="R565" i="1"/>
  <c r="S565" i="1" s="1"/>
  <c r="T565" i="1" s="1"/>
  <c r="V565" i="1" s="1"/>
  <c r="R566" i="1"/>
  <c r="S566" i="1" s="1"/>
  <c r="T566" i="1" s="1"/>
  <c r="V566" i="1" s="1"/>
  <c r="R567" i="1"/>
  <c r="S567" i="1" s="1"/>
  <c r="T567" i="1" s="1"/>
  <c r="V567" i="1" s="1"/>
  <c r="R568" i="1"/>
  <c r="S568" i="1" s="1"/>
  <c r="T568" i="1" s="1"/>
  <c r="V568" i="1" s="1"/>
  <c r="R569" i="1"/>
  <c r="S569" i="1" s="1"/>
  <c r="T569" i="1" s="1"/>
  <c r="V569" i="1" s="1"/>
  <c r="R570" i="1"/>
  <c r="S570" i="1" s="1"/>
  <c r="T570" i="1" s="1"/>
  <c r="V570" i="1" s="1"/>
  <c r="R571" i="1"/>
  <c r="S571" i="1" s="1"/>
  <c r="T571" i="1" s="1"/>
  <c r="V571" i="1" s="1"/>
  <c r="R572" i="1"/>
  <c r="S572" i="1" s="1"/>
  <c r="T572" i="1" s="1"/>
  <c r="V572" i="1" s="1"/>
  <c r="R573" i="1"/>
  <c r="S573" i="1" s="1"/>
  <c r="T573" i="1" s="1"/>
  <c r="V573" i="1" s="1"/>
  <c r="R574" i="1"/>
  <c r="S574" i="1" s="1"/>
  <c r="T574" i="1" s="1"/>
  <c r="V574" i="1" s="1"/>
  <c r="R575" i="1"/>
  <c r="S575" i="1" s="1"/>
  <c r="T575" i="1" s="1"/>
  <c r="V575" i="1" s="1"/>
  <c r="R576" i="1"/>
  <c r="S576" i="1" s="1"/>
  <c r="T576" i="1" s="1"/>
  <c r="V576" i="1" s="1"/>
  <c r="R577" i="1"/>
  <c r="S577" i="1" s="1"/>
  <c r="T577" i="1" s="1"/>
  <c r="V577" i="1" s="1"/>
  <c r="R578" i="1"/>
  <c r="S578" i="1" s="1"/>
  <c r="T578" i="1" s="1"/>
  <c r="V578" i="1" s="1"/>
  <c r="R579" i="1"/>
  <c r="S579" i="1" s="1"/>
  <c r="T579" i="1" s="1"/>
  <c r="V579" i="1" s="1"/>
  <c r="R580" i="1"/>
  <c r="S580" i="1" s="1"/>
  <c r="T580" i="1" s="1"/>
  <c r="V580" i="1" s="1"/>
  <c r="R581" i="1"/>
  <c r="S581" i="1" s="1"/>
  <c r="T581" i="1" s="1"/>
  <c r="V581" i="1" s="1"/>
  <c r="R582" i="1"/>
  <c r="S582" i="1" s="1"/>
  <c r="T582" i="1" s="1"/>
  <c r="V582" i="1" s="1"/>
  <c r="R583" i="1"/>
  <c r="S583" i="1" s="1"/>
  <c r="T583" i="1" s="1"/>
  <c r="V583" i="1" s="1"/>
  <c r="R584" i="1"/>
  <c r="S584" i="1" s="1"/>
  <c r="T584" i="1" s="1"/>
  <c r="V584" i="1" s="1"/>
  <c r="R585" i="1"/>
  <c r="S585" i="1" s="1"/>
  <c r="T585" i="1" s="1"/>
  <c r="V585" i="1" s="1"/>
  <c r="R586" i="1"/>
  <c r="S586" i="1" s="1"/>
  <c r="T586" i="1" s="1"/>
  <c r="V586" i="1" s="1"/>
  <c r="R587" i="1"/>
  <c r="S587" i="1" s="1"/>
  <c r="T587" i="1" s="1"/>
  <c r="V587" i="1" s="1"/>
  <c r="R588" i="1"/>
  <c r="S588" i="1" s="1"/>
  <c r="T588" i="1" s="1"/>
  <c r="V588" i="1" s="1"/>
  <c r="R589" i="1"/>
  <c r="S589" i="1" s="1"/>
  <c r="T589" i="1" s="1"/>
  <c r="V589" i="1" s="1"/>
  <c r="R590" i="1"/>
  <c r="S590" i="1" s="1"/>
  <c r="T590" i="1" s="1"/>
  <c r="V590" i="1" s="1"/>
  <c r="R591" i="1"/>
  <c r="S591" i="1" s="1"/>
  <c r="T591" i="1" s="1"/>
  <c r="V591" i="1" s="1"/>
  <c r="R592" i="1"/>
  <c r="S592" i="1" s="1"/>
  <c r="T592" i="1" s="1"/>
  <c r="V592" i="1" s="1"/>
  <c r="R593" i="1"/>
  <c r="S593" i="1" s="1"/>
  <c r="T593" i="1" s="1"/>
  <c r="V593" i="1" s="1"/>
  <c r="R594" i="1"/>
  <c r="S594" i="1" s="1"/>
  <c r="T594" i="1" s="1"/>
  <c r="V594" i="1" s="1"/>
  <c r="R595" i="1"/>
  <c r="S595" i="1" s="1"/>
  <c r="T595" i="1" s="1"/>
  <c r="V595" i="1" s="1"/>
  <c r="R596" i="1"/>
  <c r="S596" i="1" s="1"/>
  <c r="T596" i="1" s="1"/>
  <c r="V596" i="1" s="1"/>
  <c r="R597" i="1"/>
  <c r="S597" i="1" s="1"/>
  <c r="T597" i="1" s="1"/>
  <c r="V597" i="1" s="1"/>
  <c r="R598" i="1"/>
  <c r="S598" i="1" s="1"/>
  <c r="T598" i="1" s="1"/>
  <c r="V598" i="1" s="1"/>
  <c r="R599" i="1"/>
  <c r="S599" i="1" s="1"/>
  <c r="T599" i="1" s="1"/>
  <c r="V599" i="1" s="1"/>
  <c r="R600" i="1"/>
  <c r="S600" i="1" s="1"/>
  <c r="T600" i="1" s="1"/>
  <c r="V600" i="1" s="1"/>
  <c r="R601" i="1"/>
  <c r="S601" i="1" s="1"/>
  <c r="T601" i="1" s="1"/>
  <c r="V601" i="1" s="1"/>
  <c r="S2" i="1" l="1"/>
  <c r="T2" i="1" s="1"/>
  <c r="X9" i="1"/>
  <c r="V2" i="1"/>
  <c r="X6" i="1"/>
  <c r="X1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B1D280-F9D4-44B8-A51B-4EE13D839DEC}" keepAlive="1" name="Query - monthly_revenue" description="Connection to the 'monthly_revenue' query in the workbook." type="5" refreshedVersion="8" background="1" saveData="1">
    <dbPr connection="Provider=Microsoft.Mashup.OleDb.1;Data Source=$Workbook$;Location=monthly_revenue;Extended Properties=&quot;&quot;" command="SELECT * FROM [monthly_revenue]"/>
  </connection>
</connections>
</file>

<file path=xl/sharedStrings.xml><?xml version="1.0" encoding="utf-8"?>
<sst xmlns="http://schemas.openxmlformats.org/spreadsheetml/2006/main" count="5944" uniqueCount="713">
  <si>
    <t>customer_id</t>
  </si>
  <si>
    <t>plan</t>
  </si>
  <si>
    <t>billing_cycle</t>
  </si>
  <si>
    <t>industry</t>
  </si>
  <si>
    <t>company_size</t>
  </si>
  <si>
    <t>seats</t>
  </si>
  <si>
    <t>monthly_revenue</t>
  </si>
  <si>
    <t>acquisition_channel</t>
  </si>
  <si>
    <t>region</t>
  </si>
  <si>
    <t>signup_date</t>
  </si>
  <si>
    <t>churned</t>
  </si>
  <si>
    <t>churn_date</t>
  </si>
  <si>
    <t>churn_reason</t>
  </si>
  <si>
    <t>support_tickets_12mo</t>
  </si>
  <si>
    <t>nps_score</t>
  </si>
  <si>
    <t>feature_usage_pct</t>
  </si>
  <si>
    <t>upgraded</t>
  </si>
  <si>
    <t>CUST-0001</t>
  </si>
  <si>
    <t>Professional</t>
  </si>
  <si>
    <t>Monthly</t>
  </si>
  <si>
    <t>Retail</t>
  </si>
  <si>
    <t>51-200</t>
  </si>
  <si>
    <t>Organic Search</t>
  </si>
  <si>
    <t>North America</t>
  </si>
  <si>
    <t>Yes</t>
  </si>
  <si>
    <t>Price Too High</t>
  </si>
  <si>
    <t>No</t>
  </si>
  <si>
    <t>CUST-0002</t>
  </si>
  <si>
    <t>Annual</t>
  </si>
  <si>
    <t>Direct Sales</t>
  </si>
  <si>
    <t>CUST-0003</t>
  </si>
  <si>
    <t>Starter</t>
  </si>
  <si>
    <t>Finance</t>
  </si>
  <si>
    <t>500+</t>
  </si>
  <si>
    <t>Partner</t>
  </si>
  <si>
    <t>CUST-0004</t>
  </si>
  <si>
    <t>Business</t>
  </si>
  <si>
    <t>Real Estate</t>
  </si>
  <si>
    <t>Europe</t>
  </si>
  <si>
    <t>CUST-0005</t>
  </si>
  <si>
    <t>Manufacturing</t>
  </si>
  <si>
    <t>CUST-0006</t>
  </si>
  <si>
    <t>Technology</t>
  </si>
  <si>
    <t>Referral</t>
  </si>
  <si>
    <t>CUST-0007</t>
  </si>
  <si>
    <t>201-500</t>
  </si>
  <si>
    <t>Poor Support</t>
  </si>
  <si>
    <t>CUST-0008</t>
  </si>
  <si>
    <t>CUST-0009</t>
  </si>
  <si>
    <t>Media</t>
  </si>
  <si>
    <t>Switched Competitor</t>
  </si>
  <si>
    <t>CUST-0010</t>
  </si>
  <si>
    <t>Healthcare</t>
  </si>
  <si>
    <t>Budget Cuts</t>
  </si>
  <si>
    <t>CUST-0011</t>
  </si>
  <si>
    <t>Asia Pacific</t>
  </si>
  <si>
    <t>Company Closed</t>
  </si>
  <si>
    <t>CUST-0012</t>
  </si>
  <si>
    <t>CUST-0013</t>
  </si>
  <si>
    <t>CUST-0014</t>
  </si>
  <si>
    <t>Paid Ads</t>
  </si>
  <si>
    <t>CUST-0015</t>
  </si>
  <si>
    <t>Education</t>
  </si>
  <si>
    <t>No Longer Needed</t>
  </si>
  <si>
    <t>CUST-0016</t>
  </si>
  <si>
    <t>CUST-0017</t>
  </si>
  <si>
    <t>CUST-0018</t>
  </si>
  <si>
    <t>CUST-0019</t>
  </si>
  <si>
    <t>Legal</t>
  </si>
  <si>
    <t>Latin America</t>
  </si>
  <si>
    <t>CUST-0020</t>
  </si>
  <si>
    <t>Enterprise</t>
  </si>
  <si>
    <t>CUST-0021</t>
  </si>
  <si>
    <t>CUST-0022</t>
  </si>
  <si>
    <t>CUST-0023</t>
  </si>
  <si>
    <t>CUST-0024</t>
  </si>
  <si>
    <t>CUST-0025</t>
  </si>
  <si>
    <t>CUST-0026</t>
  </si>
  <si>
    <t>CUST-0027</t>
  </si>
  <si>
    <t>Consulting</t>
  </si>
  <si>
    <t>CUST-0028</t>
  </si>
  <si>
    <t>CUST-0029</t>
  </si>
  <si>
    <t>Missing Features</t>
  </si>
  <si>
    <t>CUST-0030</t>
  </si>
  <si>
    <t>CUST-0031</t>
  </si>
  <si>
    <t>CUST-0032</t>
  </si>
  <si>
    <t>CUST-0033</t>
  </si>
  <si>
    <t>CUST-0034</t>
  </si>
  <si>
    <t>CUST-0035</t>
  </si>
  <si>
    <t>CUST-0036</t>
  </si>
  <si>
    <t>CUST-0037</t>
  </si>
  <si>
    <t>CUST-0038</t>
  </si>
  <si>
    <t>CUST-0039</t>
  </si>
  <si>
    <t>CUST-0040</t>
  </si>
  <si>
    <t>CUST-0041</t>
  </si>
  <si>
    <t>CUST-0042</t>
  </si>
  <si>
    <t>CUST-0043</t>
  </si>
  <si>
    <t>CUST-0044</t>
  </si>
  <si>
    <t>Social Media</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</si>
  <si>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</si>
  <si>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</si>
  <si>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</si>
  <si>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</si>
  <si>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</si>
  <si>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</si>
  <si>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</si>
  <si>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</si>
  <si>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</si>
  <si>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</si>
  <si>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</si>
  <si>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</si>
  <si>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</si>
  <si>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</si>
  <si>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</si>
  <si>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</si>
  <si>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</si>
  <si>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</si>
  <si>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</si>
  <si>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</si>
  <si>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</si>
  <si>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</si>
  <si>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</si>
  <si>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</si>
  <si>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</si>
  <si>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</si>
  <si>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</si>
  <si>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</si>
  <si>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</si>
  <si>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</si>
  <si>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</si>
  <si>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</si>
  <si>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</si>
  <si>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</si>
  <si>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</si>
  <si>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</si>
  <si>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</si>
  <si>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</si>
  <si>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</si>
  <si>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</si>
  <si>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</si>
  <si>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</si>
  <si>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</si>
  <si>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</si>
  <si>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</si>
  <si>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</si>
  <si>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</si>
  <si>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</si>
  <si>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</si>
  <si>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</si>
  <si>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</si>
  <si>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</si>
  <si>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</si>
  <si>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</si>
  <si>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</si>
  <si>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</si>
  <si>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</si>
  <si>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</si>
  <si>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</si>
  <si>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</si>
  <si>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</si>
  <si>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</si>
  <si>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</si>
  <si>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</si>
  <si>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</si>
  <si>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</si>
  <si>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</si>
  <si>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</si>
  <si>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</si>
  <si>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</si>
  <si>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</si>
  <si>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</si>
  <si>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</si>
  <si>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</si>
  <si>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</si>
  <si>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</si>
  <si>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</si>
  <si>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</si>
  <si>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</si>
  <si>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</si>
  <si>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</si>
  <si>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</si>
  <si>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</si>
  <si>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</si>
  <si>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</si>
  <si>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</si>
  <si>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</si>
  <si>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</si>
  <si>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</si>
  <si>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</si>
  <si>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</si>
  <si>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</si>
  <si>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</si>
  <si>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</si>
  <si>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</si>
  <si>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</si>
  <si>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</si>
  <si>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</si>
  <si>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</si>
  <si>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</si>
  <si>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</si>
  <si>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</si>
  <si>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</si>
  <si>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</si>
  <si>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</si>
  <si>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</si>
  <si>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</si>
  <si>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</si>
  <si>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</si>
  <si>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</si>
  <si>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</si>
  <si>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</si>
  <si>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</si>
  <si>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</si>
  <si>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</si>
  <si>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</si>
  <si>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</si>
  <si>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</si>
  <si>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</si>
  <si>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</si>
  <si>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</si>
  <si>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</si>
  <si>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</si>
  <si>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</si>
  <si>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</si>
  <si>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</si>
  <si>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</si>
  <si>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</si>
  <si>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</si>
  <si>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</si>
  <si>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</si>
  <si>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</si>
  <si>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</si>
  <si>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</si>
  <si>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</si>
  <si>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</si>
  <si>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</si>
  <si>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</si>
  <si>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</si>
  <si>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</si>
  <si>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</si>
  <si>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</si>
  <si>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</si>
  <si>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</si>
  <si>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</si>
  <si>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</si>
  <si>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</si>
  <si>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</si>
  <si>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</si>
  <si>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</si>
  <si>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</si>
  <si>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</si>
  <si>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</si>
  <si>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</si>
  <si>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</si>
  <si>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</si>
  <si>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</si>
  <si>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</si>
  <si>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</si>
  <si>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</si>
  <si>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</si>
  <si>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</si>
  <si>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</si>
  <si>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</si>
  <si>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</si>
  <si>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</si>
  <si>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</si>
  <si>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</si>
  <si>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</si>
  <si>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</si>
  <si>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</si>
  <si>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</si>
  <si>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</si>
  <si>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</si>
  <si>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</si>
  <si>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</si>
  <si>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</si>
  <si>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</si>
  <si>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</si>
  <si>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</si>
  <si>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</si>
  <si>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</si>
  <si>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</si>
  <si>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</si>
  <si>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</si>
  <si>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</si>
  <si>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</si>
  <si>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</si>
  <si>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</si>
  <si>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</si>
  <si>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</si>
  <si>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</si>
  <si>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</si>
  <si>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</si>
  <si>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</si>
  <si>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</si>
  <si>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</si>
  <si>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</si>
  <si>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</si>
  <si>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</si>
  <si>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</si>
  <si>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</si>
  <si>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</si>
  <si>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</si>
  <si>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</si>
  <si>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</si>
  <si>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</si>
  <si>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</si>
  <si>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</si>
  <si>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</si>
  <si>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</si>
  <si>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</si>
  <si>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</si>
  <si>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</si>
  <si>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</si>
  <si>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</si>
  <si>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</si>
  <si>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</si>
  <si>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</si>
  <si>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</si>
  <si>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</si>
  <si>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</si>
  <si>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</si>
  <si>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</si>
  <si>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</si>
  <si>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</si>
  <si>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</si>
  <si>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</si>
  <si>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</si>
  <si>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</si>
  <si>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</si>
  <si>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</si>
  <si>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</si>
  <si>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</si>
  <si>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</si>
  <si>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</si>
  <si>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</si>
  <si>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</si>
  <si>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</si>
  <si>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</si>
  <si>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</si>
  <si>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</si>
  <si>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</si>
  <si>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</si>
  <si>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</si>
  <si>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</si>
  <si>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</si>
  <si>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</si>
  <si>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</si>
  <si>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</si>
  <si>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</si>
  <si>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</si>
  <si>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</si>
  <si>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</si>
  <si>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</si>
  <si>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</si>
  <si>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</si>
  <si>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</si>
  <si>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</si>
  <si>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</si>
  <si>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</si>
  <si>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</si>
  <si>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</si>
  <si>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</si>
  <si>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</si>
  <si>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</si>
  <si>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</si>
  <si>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</si>
  <si>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</si>
  <si>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</si>
  <si>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</si>
  <si>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</si>
  <si>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</si>
  <si>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</si>
  <si>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</si>
  <si>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</si>
  <si>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</si>
  <si>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</si>
  <si>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</si>
  <si>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</si>
  <si>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</si>
  <si>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</si>
  <si>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</si>
  <si>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</si>
  <si>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</si>
  <si>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</si>
  <si>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</si>
  <si>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</si>
  <si>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</si>
  <si>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</si>
  <si>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</si>
  <si>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</si>
  <si>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</si>
  <si>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</si>
  <si>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</si>
  <si>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</si>
  <si>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</si>
  <si>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</si>
  <si>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</si>
  <si>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</si>
  <si>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</si>
  <si>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</si>
  <si>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</si>
  <si>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</si>
  <si>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</si>
  <si>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</si>
  <si>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</si>
  <si>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</si>
  <si>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</si>
  <si>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</si>
  <si>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</si>
  <si>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</si>
  <si>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</si>
  <si>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</si>
  <si>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</si>
  <si>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</si>
  <si>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</si>
  <si>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</si>
  <si>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</si>
  <si>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</si>
  <si>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</si>
  <si>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</si>
  <si>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</si>
  <si>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</si>
  <si>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</si>
  <si>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</si>
  <si>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</si>
  <si>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</si>
  <si>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</si>
  <si>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</si>
  <si>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</si>
  <si>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</si>
  <si>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</si>
  <si>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</si>
  <si>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</si>
  <si>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</si>
  <si>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</si>
  <si>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</si>
  <si>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</si>
  <si>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</si>
  <si>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</si>
  <si>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</si>
  <si>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</si>
  <si>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</si>
  <si>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</si>
  <si>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</si>
  <si>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</si>
  <si>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</si>
  <si>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</si>
  <si>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</si>
  <si>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</si>
  <si>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</si>
  <si>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</si>
  <si>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</si>
  <si>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</si>
  <si>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</si>
  <si>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</si>
  <si>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</si>
  <si>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</si>
  <si>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</si>
  <si>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</si>
  <si>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</si>
  <si>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</si>
  <si>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</si>
  <si>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</si>
  <si>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</si>
  <si>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</si>
  <si>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</si>
  <si>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</si>
  <si>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</si>
  <si>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</si>
  <si>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</si>
  <si>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</si>
  <si>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</si>
  <si>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</si>
  <si>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</si>
  <si>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</si>
  <si>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</si>
  <si>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</si>
  <si>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</si>
  <si>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</si>
  <si>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</si>
  <si>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</si>
  <si>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</si>
  <si>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</si>
  <si>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</si>
  <si>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</si>
  <si>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</si>
  <si>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</si>
  <si>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</si>
  <si>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</si>
  <si>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</si>
  <si>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</si>
  <si>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</si>
  <si>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</si>
  <si>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</si>
  <si>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</si>
  <si>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</si>
  <si>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</si>
  <si>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</si>
  <si>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</si>
  <si>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</si>
  <si>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</si>
  <si>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</si>
  <si>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</si>
  <si>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</si>
  <si>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</si>
  <si>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</si>
  <si>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</si>
  <si>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</si>
  <si>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</si>
  <si>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</si>
  <si>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</si>
  <si>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</si>
  <si>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</si>
  <si>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</si>
  <si>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</si>
  <si>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</si>
  <si>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</si>
  <si>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</si>
  <si>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</si>
  <si>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</si>
  <si>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</si>
  <si>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</si>
  <si>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</si>
  <si>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</si>
  <si>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</si>
  <si>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</si>
  <si>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</si>
  <si>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</si>
  <si>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</si>
  <si>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</si>
  <si>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</si>
  <si>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</si>
  <si>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</si>
  <si>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</si>
  <si>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</si>
  <si>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</si>
  <si>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</si>
  <si>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</si>
  <si>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</si>
  <si>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</si>
  <si>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</si>
  <si>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</si>
  <si>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</si>
  <si>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</si>
  <si>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</si>
  <si>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</si>
  <si>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</si>
  <si>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</si>
  <si>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</si>
  <si>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</si>
  <si>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</si>
  <si>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</si>
  <si>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</si>
  <si>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</si>
  <si>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</si>
  <si>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</si>
  <si>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</si>
  <si>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</si>
  <si>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</si>
  <si>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</si>
  <si>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</si>
  <si>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</si>
  <si>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</si>
  <si>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</si>
  <si>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</si>
  <si>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</si>
  <si>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</si>
  <si>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</si>
  <si>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</si>
  <si>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</si>
  <si>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</si>
  <si>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</si>
  <si>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</si>
  <si>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</si>
  <si>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</si>
  <si>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</si>
  <si>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</si>
  <si>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</si>
  <si>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</si>
  <si>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</si>
  <si>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</si>
  <si>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</si>
  <si>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</si>
  <si>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</si>
  <si>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</si>
  <si>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</si>
  <si>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</si>
  <si>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</si>
  <si>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</si>
  <si>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</si>
  <si>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</si>
  <si>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</si>
  <si>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</si>
  <si>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</si>
  <si>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</si>
  <si>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</si>
  <si>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</si>
  <si>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</si>
  <si>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</si>
  <si>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</si>
  <si>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</si>
  <si>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</si>
  <si>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</si>
  <si>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</si>
  <si>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</si>
  <si>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</si>
  <si>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</si>
  <si>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</si>
  <si>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</si>
  <si>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</si>
  <si>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</si>
  <si>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</si>
  <si>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</si>
  <si>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</si>
  <si>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</si>
  <si>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</si>
  <si>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</si>
  <si>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</si>
  <si>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</si>
  <si>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</si>
  <si>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</si>
  <si>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</si>
  <si>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</si>
  <si>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</si>
  <si>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</si>
  <si>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</si>
  <si>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</si>
  <si>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</si>
  <si>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</si>
  <si>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</si>
  <si>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</si>
  <si>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</si>
  <si>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</si>
  <si>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</si>
  <si>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</si>
  <si>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</si>
  <si>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</si>
  <si>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</si>
  <si>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</si>
  <si>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</si>
  <si>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</si>
  <si>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</si>
  <si>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</si>
  <si>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</si>
  <si>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</si>
  <si>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</si>
  <si>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</si>
  <si>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</si>
  <si>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</si>
  <si>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</si>
  <si>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</si>
  <si>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</si>
  <si>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</si>
  <si>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</si>
  <si>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month</t>
  </si>
  <si>
    <t>total_active_customers</t>
  </si>
  <si>
    <t>new_customers</t>
  </si>
  <si>
    <t>churned_customers</t>
  </si>
  <si>
    <t>monthly_churn_rate_pct</t>
  </si>
  <si>
    <t>total_mrr</t>
  </si>
  <si>
    <t>avg_revenue_per_customer</t>
  </si>
  <si>
    <t>customer_acquisition_cost</t>
  </si>
  <si>
    <t>11-01</t>
  </si>
  <si>
    <t>1-10</t>
  </si>
  <si>
    <t>churn_flag</t>
  </si>
  <si>
    <t>CLV</t>
  </si>
  <si>
    <t>customer_lifetime</t>
  </si>
  <si>
    <t>new_mrr</t>
  </si>
  <si>
    <t>churned_mrr</t>
  </si>
  <si>
    <t>net_customer_growth</t>
  </si>
  <si>
    <t>feature_usage_segmentation</t>
  </si>
  <si>
    <t>Grand Total</t>
  </si>
  <si>
    <t>Average of churn_flag</t>
  </si>
  <si>
    <t>Plan</t>
  </si>
  <si>
    <t>Billing_cycle</t>
  </si>
  <si>
    <t>Company_size</t>
  </si>
  <si>
    <t>Count of customer_id</t>
  </si>
  <si>
    <t>2022</t>
  </si>
  <si>
    <t>2023</t>
  </si>
  <si>
    <t>2024</t>
  </si>
  <si>
    <t>2025</t>
  </si>
  <si>
    <t>&lt;2/14/2022</t>
  </si>
  <si>
    <t>Jan</t>
  </si>
  <si>
    <t>Feb</t>
  </si>
  <si>
    <t>Mar</t>
  </si>
  <si>
    <t>Apr</t>
  </si>
  <si>
    <t>May</t>
  </si>
  <si>
    <t>Jun</t>
  </si>
  <si>
    <t>Jul</t>
  </si>
  <si>
    <t>Aug</t>
  </si>
  <si>
    <t>Sep</t>
  </si>
  <si>
    <t>Oct</t>
  </si>
  <si>
    <t>Nov</t>
  </si>
  <si>
    <t>Dec</t>
  </si>
  <si>
    <t>Sum of total_mrr</t>
  </si>
  <si>
    <t>Month</t>
  </si>
  <si>
    <t>Sum of monthly_churn_rate_pct</t>
  </si>
  <si>
    <t>Average of CLV</t>
  </si>
  <si>
    <t>High Risk</t>
  </si>
  <si>
    <t>Low Risk</t>
  </si>
  <si>
    <t>Medium Risk</t>
  </si>
  <si>
    <t>CLV:CAC</t>
  </si>
  <si>
    <t>Average of CLV:CAC</t>
  </si>
  <si>
    <t>Total_customer</t>
  </si>
  <si>
    <t>Average_CLV</t>
  </si>
  <si>
    <t>Overall_churn_rate</t>
  </si>
  <si>
    <t>CLV:CAC Ratio</t>
  </si>
  <si>
    <t>Latest MRR</t>
  </si>
  <si>
    <t>feature_usage_segment</t>
  </si>
  <si>
    <t>churned_reason</t>
  </si>
  <si>
    <t>new customers</t>
  </si>
  <si>
    <t>churned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</si>
</sst>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6"/>
      <color theme="9" tint="0.7999816888943144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2" fontId="0" fillId="0" borderId="0" xfId="0" applyNumberFormat="1"/>
    <xf numFmtId="9" fontId="0" fillId="0" borderId="0" xfId="1" applyFont="1"/>
    <xf numFmtId="0" fontId="0" fillId="33" borderId="0" xfId="0" applyFill="1"/>
    <xf numFmtId="0" fontId="19" fillId="33"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3">
    <dxf>
      <fill>
        <patternFill>
          <bgColor rgb="FF00B050"/>
        </patternFill>
      </fill>
    </dxf>
    <dxf>
      <fill>
        <patternFill>
          <bgColor rgb="FFFF0000"/>
        </patternFill>
      </fill>
    </dxf>
    <dxf>
      <fill>
        <patternFill>
          <bgColor rgb="FFFFC000"/>
        </patternFill>
      </fill>
    </dxf>
    <dxf>
      <numFmt numFmtId="164" formatCode="0.000"/>
    </dxf>
    <dxf>
      <numFmt numFmtId="164" formatCode="0.000"/>
    </dxf>
    <dxf>
      <numFmt numFmtId="2" formatCode="0.00"/>
    </dxf>
    <dxf>
      <numFmt numFmtId="164" formatCode="0.000"/>
    </dxf>
    <dxf>
      <numFmt numFmtId="164" formatCode="0.000"/>
    </dxf>
    <dxf>
      <numFmt numFmtId="2" formatCode="0.00"/>
    </dxf>
    <dxf>
      <numFmt numFmtId="164" formatCode="0.000"/>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30" formatCode="@"/>
    </dxf>
    <dxf>
      <font>
        <color theme="0" tint="-0.24994659260841701"/>
      </font>
      <fill>
        <patternFill>
          <bgColor rgb="FF002060"/>
        </patternFill>
      </fill>
    </dxf>
    <dxf>
      <font>
        <color theme="0" tint="-0.24994659260841701"/>
      </font>
      <fill>
        <patternFill>
          <bgColor rgb="FF002060"/>
        </patternFill>
      </fill>
    </dxf>
  </dxfs>
  <tableStyles count="2" defaultTableStyle="TableStyleMedium2" defaultPivotStyle="PivotStyleLight16">
    <tableStyle name="Slicer Style 1" pivot="0" table="0" count="5" xr9:uid="{379FC260-756A-4C72-96C6-89D7DEAB445F}">
      <tableStyleElement type="wholeTable" dxfId="22"/>
    </tableStyle>
    <tableStyle name="Slicer Style 2" pivot="0" table="0" count="3" xr9:uid="{EA907A8D-835D-46B9-8CE9-36476CBB2D81}">
      <tableStyleElement type="wholeTable" dxfId="21"/>
    </tableStyle>
  </tableStyles>
  <extLst>
    <ext xmlns:x14="http://schemas.microsoft.com/office/spreadsheetml/2009/9/main" uri="{46F421CA-312F-682f-3DD2-61675219B42D}">
      <x14:dxfs count="6">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24994659260841701"/>
            </patternFill>
          </fill>
        </dxf>
        <dxf>
          <fill>
            <patternFill>
              <bgColor theme="5" tint="0.39994506668294322"/>
            </patternFill>
          </fill>
        </dxf>
        <dxf>
          <fill>
            <patternFill>
              <bgColor theme="5"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[saas revenue and churn analysis.xlsx]churn_analysis!PivotTable8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churn_analysis!$B$2</c:f>
              <c:strCache>
                <c:ptCount val="1"/>
                <c:pt idx="0">
                  <c:v>Total</c:v>
                </c:pt>
              </c:strCache>
            </c:strRef>
          </c:tx>
          <c:spPr>
            <a:solidFill>
              <a:schemeClr val="accent3"/>
            </a:solidFill>
            <a:ln>
              <a:noFill/>
            </a:ln>
            <a:effectLst/>
          </c:spPr>
          <c:invertIfNegative val="0"/>
          <c:cat>
            <c:strRef>
              <c:f>churn_analysis!$A$3:$A$7</c:f>
              <c:strCache>
                <c:ptCount val="4"/>
                <c:pt idx="0">
                  <c:v>Enterprise</c:v>
                </c:pt>
                <c:pt idx="1">
                  <c:v>Business</c:v>
                </c:pt>
                <c:pt idx="2">
                  <c:v>Professional</c:v>
                </c:pt>
                <c:pt idx="3">
                  <c:v>Starter</c:v>
                </c:pt>
              </c:strCache>
            </c:strRef>
          </c:cat>
          <c:val>
            <c:numRef>
              <c:f>churn_analysis!$B$3:$B$7</c:f>
              <c:numCache>
                <c:formatCode>0.000</c:formatCode>
                <c:ptCount val="4"/>
                <c:pt idx="0">
                  <c:v>0.22</c:v>
                </c:pt>
                <c:pt idx="1">
                  <c:v>0.41249999999999998</c:v>
                </c:pt>
                <c:pt idx="2">
                  <c:v>0.47976878612716761</c:v>
                </c:pt>
                <c:pt idx="3">
                  <c:v>0.70506912442396308</c:v>
                </c:pt>
              </c:numCache>
            </c:numRef>
          </c:val>
          <c:extLst>
            <c:ext xmlns:c16="http://schemas.microsoft.com/office/drawing/2014/chart" uri="{C3380CC4-5D6E-409C-BE32-E72D297353CC}">
              <c16:uniqueId val="{00000000-2E46-4648-91A3-F9FC352DC37D}"/>
            </c:ext>
          </c:extLst>
        </c:ser>
        <c:dLbls>
          <c:showLegendKey val="0"/>
          <c:showVal val="0"/>
          <c:showCatName val="0"/>
          <c:showSerName val="0"/>
          <c:showPercent val="0"/>
          <c:showBubbleSize val="0"/>
        </c:dLbls>
        <c:gapWidth val="219"/>
        <c:overlap val="-27"/>
        <c:axId val="1801643904"/>
        <c:axId val="1801650144"/>
      </c:barChart>
      <c:catAx>
        <c:axId val="1801643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50144"/>
        <c:crosses val="autoZero"/>
        <c:auto val="1"/>
        <c:lblAlgn val="ctr"/>
        <c:lblOffset val="100"/>
        <c:noMultiLvlLbl val="0"/>
      </c:catAx>
      <c:valAx>
        <c:axId val="18016501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flag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4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[saas revenue and churn analysis.xlsx]churn_analysis!PivotTable4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acquisition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churn_analysis!$B$9</c:f>
              <c:strCache>
                <c:ptCount val="1"/>
                <c:pt idx="0">
                  <c:v>Total</c:v>
                </c:pt>
              </c:strCache>
            </c:strRef>
          </c:tx>
          <c:spPr>
            <a:solidFill>
              <a:schemeClr val="accent2"/>
            </a:solidFill>
            <a:ln>
              <a:noFill/>
            </a:ln>
            <a:effectLst/>
          </c:spPr>
          <c:invertIfNegative val="0"/>
          <c:cat>
            <c:strRef>
              <c:f>churn_analysis!$A$10:$A$16</c:f>
              <c:strCache>
                <c:ptCount val="6"/>
                <c:pt idx="0">
                  <c:v>Direct Sales</c:v>
                </c:pt>
                <c:pt idx="1">
                  <c:v>Organic Search</c:v>
                </c:pt>
                <c:pt idx="2">
                  <c:v>Paid Ads</c:v>
                </c:pt>
                <c:pt idx="3">
                  <c:v>Social Media</c:v>
                </c:pt>
                <c:pt idx="4">
                  <c:v>Partner</c:v>
                </c:pt>
                <c:pt idx="5">
                  <c:v>Referral</c:v>
                </c:pt>
              </c:strCache>
            </c:strRef>
          </c:cat>
          <c:val>
            <c:numRef>
              <c:f>churn_analysis!$B$10:$B$16</c:f>
              <c:numCache>
                <c:formatCode>0.000</c:formatCode>
                <c:ptCount val="6"/>
                <c:pt idx="0">
                  <c:v>0.39285714285714285</c:v>
                </c:pt>
                <c:pt idx="1">
                  <c:v>0.43790849673202614</c:v>
                </c:pt>
                <c:pt idx="2">
                  <c:v>0.5304347826086957</c:v>
                </c:pt>
                <c:pt idx="3">
                  <c:v>0.55769230769230771</c:v>
                </c:pt>
                <c:pt idx="4">
                  <c:v>0.57999999999999996</c:v>
                </c:pt>
                <c:pt idx="5">
                  <c:v>0.61290322580645162</c:v>
                </c:pt>
              </c:numCache>
            </c:numRef>
          </c:val>
          <c:extLst>
            <c:ext xmlns:c16="http://schemas.microsoft.com/office/drawing/2014/chart" uri="{C3380CC4-5D6E-409C-BE32-E72D297353CC}">
              <c16:uniqueId val="{00000000-5DA7-4EB4-8434-30B9376FAB13}"/>
            </c:ext>
          </c:extLst>
        </c:ser>
        <c:dLbls>
          <c:showLegendKey val="0"/>
          <c:showVal val="0"/>
          <c:showCatName val="0"/>
          <c:showSerName val="0"/>
          <c:showPercent val="0"/>
          <c:showBubbleSize val="0"/>
        </c:dLbls>
        <c:gapWidth val="219"/>
        <c:overlap val="-27"/>
        <c:axId val="1801677024"/>
        <c:axId val="1801689504"/>
      </c:barChart>
      <c:catAx>
        <c:axId val="1801677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Acquisition</a:t>
                </a:r>
                <a:r>
                  <a:rPr lang="en-US" baseline="0"/>
                  <a:t> Channel</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89504"/>
        <c:crosses val="autoZero"/>
        <c:auto val="1"/>
        <c:lblAlgn val="ctr"/>
        <c:lblOffset val="100"/>
        <c:noMultiLvlLbl val="0"/>
      </c:catAx>
      <c:valAx>
        <c:axId val="1801689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flag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7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revenue and churn analysis.xlsx]churn_analysis!PivotTable5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 by region</a:t>
            </a:r>
          </a:p>
        </c:rich>
      </c:tx>
      <c:layout>
        <c:manualLayout>
          <c:xMode val="edge"/>
          <c:yMode val="edge"/>
          <c:x val="0.3697082239720034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churn_analysis!$E$7</c:f>
              <c:strCache>
                <c:ptCount val="1"/>
                <c:pt idx="0">
                  <c:v>Total</c:v>
                </c:pt>
              </c:strCache>
            </c:strRef>
          </c:tx>
          <c:spPr>
            <a:solidFill>
              <a:schemeClr val="accent4"/>
            </a:solidFill>
            <a:ln>
              <a:noFill/>
            </a:ln>
            <a:effectLst/>
          </c:spPr>
          <c:invertIfNegative val="0"/>
          <c:cat>
            <c:strRef>
              <c:f>churn_analysis!$D$8:$D$12</c:f>
              <c:strCache>
                <c:ptCount val="4"/>
                <c:pt idx="0">
                  <c:v>North America</c:v>
                </c:pt>
                <c:pt idx="1">
                  <c:v>Asia Pacific</c:v>
                </c:pt>
                <c:pt idx="2">
                  <c:v>Europe</c:v>
                </c:pt>
                <c:pt idx="3">
                  <c:v>Latin America</c:v>
                </c:pt>
              </c:strCache>
            </c:strRef>
          </c:cat>
          <c:val>
            <c:numRef>
              <c:f>churn_analysis!$E$8:$E$12</c:f>
              <c:numCache>
                <c:formatCode>0.000</c:formatCode>
                <c:ptCount val="4"/>
                <c:pt idx="0">
                  <c:v>0.48943661971830987</c:v>
                </c:pt>
                <c:pt idx="1">
                  <c:v>0.51063829787234039</c:v>
                </c:pt>
                <c:pt idx="2">
                  <c:v>0.54938271604938271</c:v>
                </c:pt>
                <c:pt idx="3">
                  <c:v>0.6166666666666667</c:v>
                </c:pt>
              </c:numCache>
            </c:numRef>
          </c:val>
          <c:extLst>
            <c:ext xmlns:c16="http://schemas.microsoft.com/office/drawing/2014/chart" uri="{C3380CC4-5D6E-409C-BE32-E72D297353CC}">
              <c16:uniqueId val="{00000000-DAC8-41DC-BC39-47AD18306D85}"/>
            </c:ext>
          </c:extLst>
        </c:ser>
        <c:dLbls>
          <c:showLegendKey val="0"/>
          <c:showVal val="0"/>
          <c:showCatName val="0"/>
          <c:showSerName val="0"/>
          <c:showPercent val="0"/>
          <c:showBubbleSize val="0"/>
        </c:dLbls>
        <c:gapWidth val="219"/>
        <c:overlap val="-27"/>
        <c:axId val="141274224"/>
        <c:axId val="141274704"/>
      </c:barChart>
      <c:catAx>
        <c:axId val="141274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74704"/>
        <c:crosses val="autoZero"/>
        <c:auto val="1"/>
        <c:lblAlgn val="ctr"/>
        <c:lblOffset val="100"/>
        <c:noMultiLvlLbl val="0"/>
      </c:catAx>
      <c:valAx>
        <c:axId val="1412747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flag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74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analysis.xlsx]churn_analysis!PivotTable2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billing cycle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churn_analysis!$E$2</c:f>
              <c:strCache>
                <c:ptCount val="1"/>
                <c:pt idx="0">
                  <c:v>Total</c:v>
                </c:pt>
              </c:strCache>
            </c:strRef>
          </c:tx>
          <c:spPr>
            <a:solidFill>
              <a:schemeClr val="accent6"/>
            </a:solidFill>
            <a:ln>
              <a:noFill/>
            </a:ln>
            <a:effectLst/>
          </c:spPr>
          <c:invertIfNegative val="0"/>
          <c:cat>
            <c:strRef>
              <c:f>churn_analysis!$D$3:$D$5</c:f>
              <c:strCache>
                <c:ptCount val="2"/>
                <c:pt idx="0">
                  <c:v>Annual</c:v>
                </c:pt>
                <c:pt idx="1">
                  <c:v>Monthly</c:v>
                </c:pt>
              </c:strCache>
            </c:strRef>
          </c:cat>
          <c:val>
            <c:numRef>
              <c:f>churn_analysis!$E$3:$E$5</c:f>
              <c:numCache>
                <c:formatCode>0.000</c:formatCode>
                <c:ptCount val="2"/>
                <c:pt idx="0">
                  <c:v>0.40322580645161288</c:v>
                </c:pt>
                <c:pt idx="1">
                  <c:v>0.60511363636363635</c:v>
                </c:pt>
              </c:numCache>
            </c:numRef>
          </c:val>
          <c:extLst>
            <c:ext xmlns:c16="http://schemas.microsoft.com/office/drawing/2014/chart" uri="{C3380CC4-5D6E-409C-BE32-E72D297353CC}">
              <c16:uniqueId val="{00000000-C6C3-4F93-B283-57D80AA0282F}"/>
            </c:ext>
          </c:extLst>
        </c:ser>
        <c:dLbls>
          <c:showLegendKey val="0"/>
          <c:showVal val="0"/>
          <c:showCatName val="0"/>
          <c:showSerName val="0"/>
          <c:showPercent val="0"/>
          <c:showBubbleSize val="0"/>
        </c:dLbls>
        <c:gapWidth val="219"/>
        <c:overlap val="-27"/>
        <c:axId val="738768880"/>
        <c:axId val="738783760"/>
      </c:barChart>
      <c:catAx>
        <c:axId val="738768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Billing</a:t>
                </a:r>
                <a:r>
                  <a:rPr lang="en-US" baseline="0"/>
                  <a:t> Cycle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83760"/>
        <c:crosses val="autoZero"/>
        <c:auto val="1"/>
        <c:lblAlgn val="ctr"/>
        <c:lblOffset val="100"/>
        <c:noMultiLvlLbl val="0"/>
      </c:catAx>
      <c:valAx>
        <c:axId val="7387837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flag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[saas revenue and churn analysis.xlsx]churn_analysis!PivotTable3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by company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churn_analysis!$H$2</c:f>
              <c:strCache>
                <c:ptCount val="1"/>
                <c:pt idx="0">
                  <c:v>Total</c:v>
                </c:pt>
              </c:strCache>
            </c:strRef>
          </c:tx>
          <c:spPr>
            <a:solidFill>
              <a:schemeClr val="accent5"/>
            </a:solidFill>
            <a:ln>
              <a:noFill/>
            </a:ln>
            <a:effectLst/>
          </c:spPr>
          <c:invertIfNegative val="0"/>
          <c:cat>
            <c:strRef>
              <c:f>churn_analysis!$G$3:$G$8</c:f>
              <c:strCache>
                <c:ptCount val="5"/>
                <c:pt idx="0">
                  <c:v>51-200</c:v>
                </c:pt>
                <c:pt idx="1">
                  <c:v>11-01</c:v>
                </c:pt>
                <c:pt idx="2">
                  <c:v>201-500</c:v>
                </c:pt>
                <c:pt idx="3">
                  <c:v>1-10</c:v>
                </c:pt>
                <c:pt idx="4">
                  <c:v>500+</c:v>
                </c:pt>
              </c:strCache>
            </c:strRef>
          </c:cat>
          <c:val>
            <c:numRef>
              <c:f>churn_analysis!$H$3:$H$8</c:f>
              <c:numCache>
                <c:formatCode>0.000</c:formatCode>
                <c:ptCount val="5"/>
                <c:pt idx="0">
                  <c:v>0.42553191489361702</c:v>
                </c:pt>
                <c:pt idx="1">
                  <c:v>0.52840909090909094</c:v>
                </c:pt>
                <c:pt idx="2">
                  <c:v>0.53409090909090906</c:v>
                </c:pt>
                <c:pt idx="3">
                  <c:v>0.56687898089171973</c:v>
                </c:pt>
                <c:pt idx="4">
                  <c:v>0.63157894736842102</c:v>
                </c:pt>
              </c:numCache>
            </c:numRef>
          </c:val>
          <c:extLst>
            <c:ext xmlns:c16="http://schemas.microsoft.com/office/drawing/2014/chart" uri="{C3380CC4-5D6E-409C-BE32-E72D297353CC}">
              <c16:uniqueId val="{00000000-818E-4491-9802-B545FAAA27F3}"/>
            </c:ext>
          </c:extLst>
        </c:ser>
        <c:dLbls>
          <c:showLegendKey val="0"/>
          <c:showVal val="0"/>
          <c:showCatName val="0"/>
          <c:showSerName val="0"/>
          <c:showPercent val="0"/>
          <c:showBubbleSize val="0"/>
        </c:dLbls>
        <c:gapWidth val="219"/>
        <c:overlap val="-27"/>
        <c:axId val="738793360"/>
        <c:axId val="738797200"/>
      </c:barChart>
      <c:catAx>
        <c:axId val="738793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company</a:t>
                </a:r>
                <a:r>
                  <a:rPr lang="en-US" baseline="0"/>
                  <a:t> size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97200"/>
        <c:crosses val="autoZero"/>
        <c:auto val="1"/>
        <c:lblAlgn val="ctr"/>
        <c:lblOffset val="100"/>
        <c:noMultiLvlLbl val="0"/>
      </c:catAx>
      <c:valAx>
        <c:axId val="7387972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churn</a:t>
                </a:r>
                <a:r>
                  <a:rPr lang="en-US" baseline="0"/>
                  <a:t> f;ag</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9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[saas revenue and churn analysis.xlsx]churn_analysis!PivotTable6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churned</a:t>
            </a:r>
            <a:r>
              <a:rPr lang="en-US" baseline="0"/>
              <a:t> reason by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churn_analysis!$B$18</c:f>
              <c:strCache>
                <c:ptCount val="1"/>
                <c:pt idx="0">
                  <c:v>Total</c:v>
                </c:pt>
              </c:strCache>
            </c:strRef>
          </c:tx>
          <c:spPr>
            <a:solidFill>
              <a:schemeClr val="accent4"/>
            </a:solidFill>
            <a:ln>
              <a:noFill/>
            </a:ln>
            <a:effectLst/>
          </c:spPr>
          <c:invertIfNegative val="0"/>
          <c:cat>
            <c:strRef>
              <c:f>churn_analysis!$A$19:$A$26</c:f>
              <c:strCache>
                <c:ptCount val="7"/>
                <c:pt idx="0">
                  <c:v>Switched Competitor</c:v>
                </c:pt>
                <c:pt idx="1">
                  <c:v>Missing Features</c:v>
                </c:pt>
                <c:pt idx="2">
                  <c:v>No Longer Needed</c:v>
                </c:pt>
                <c:pt idx="3">
                  <c:v>Poor Support</c:v>
                </c:pt>
                <c:pt idx="4">
                  <c:v>Company Closed</c:v>
                </c:pt>
                <c:pt idx="5">
                  <c:v>Price Too High</c:v>
                </c:pt>
                <c:pt idx="6">
                  <c:v>Budget Cuts</c:v>
                </c:pt>
              </c:strCache>
            </c:strRef>
          </c:cat>
          <c:val>
            <c:numRef>
              <c:f>churn_analysis!$B$19:$B$26</c:f>
              <c:numCache>
                <c:formatCode>General</c:formatCode>
                <c:ptCount val="7"/>
                <c:pt idx="0">
                  <c:v>38</c:v>
                </c:pt>
                <c:pt idx="1">
                  <c:v>40</c:v>
                </c:pt>
                <c:pt idx="2">
                  <c:v>41</c:v>
                </c:pt>
                <c:pt idx="3">
                  <c:v>42</c:v>
                </c:pt>
                <c:pt idx="4">
                  <c:v>48</c:v>
                </c:pt>
                <c:pt idx="5">
                  <c:v>51</c:v>
                </c:pt>
                <c:pt idx="6">
                  <c:v>53</c:v>
                </c:pt>
              </c:numCache>
            </c:numRef>
          </c:val>
          <c:extLst>
            <c:ext xmlns:c16="http://schemas.microsoft.com/office/drawing/2014/chart" uri="{C3380CC4-5D6E-409C-BE32-E72D297353CC}">
              <c16:uniqueId val="{00000000-CB0E-4FCC-8488-03A04B8DACB2}"/>
            </c:ext>
          </c:extLst>
        </c:ser>
        <c:dLbls>
          <c:showLegendKey val="0"/>
          <c:showVal val="0"/>
          <c:showCatName val="0"/>
          <c:showSerName val="0"/>
          <c:showPercent val="0"/>
          <c:showBubbleSize val="0"/>
        </c:dLbls>
        <c:gapWidth val="182"/>
        <c:axId val="738751120"/>
        <c:axId val="738751600"/>
      </c:barChart>
      <c:catAx>
        <c:axId val="73875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51600"/>
        <c:crosses val="autoZero"/>
        <c:auto val="1"/>
        <c:lblAlgn val="ctr"/>
        <c:lblOffset val="100"/>
        <c:noMultiLvlLbl val="0"/>
      </c:catAx>
      <c:valAx>
        <c:axId val="73875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75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analysis.xlsx]churn_analysis!PivotTable11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CLV</a:t>
            </a:r>
            <a:r>
              <a:rPr lang="en-US" baseline="0"/>
              <a:t> by Plan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churn_analysis!$E$14</c:f>
              <c:strCache>
                <c:ptCount val="1"/>
                <c:pt idx="0">
                  <c:v>Total</c:v>
                </c:pt>
              </c:strCache>
            </c:strRef>
          </c:tx>
          <c:spPr>
            <a:solidFill>
              <a:schemeClr val="accent1"/>
            </a:solidFill>
            <a:ln>
              <a:noFill/>
            </a:ln>
            <a:effectLst/>
          </c:spPr>
          <c:invertIfNegative val="0"/>
          <c:cat>
            <c:strRef>
              <c:f>churn_analysis!$D$15:$D$19</c:f>
              <c:strCache>
                <c:ptCount val="4"/>
                <c:pt idx="0">
                  <c:v>Starter</c:v>
                </c:pt>
                <c:pt idx="1">
                  <c:v>Professional</c:v>
                </c:pt>
                <c:pt idx="2">
                  <c:v>Business</c:v>
                </c:pt>
                <c:pt idx="3">
                  <c:v>Enterprise</c:v>
                </c:pt>
              </c:strCache>
            </c:strRef>
          </c:cat>
          <c:val>
            <c:numRef>
              <c:f>churn_analysis!$E$15:$E$19</c:f>
              <c:numCache>
                <c:formatCode>0.00</c:formatCode>
                <c:ptCount val="4"/>
                <c:pt idx="0">
                  <c:v>2033.39866359447</c:v>
                </c:pt>
                <c:pt idx="1">
                  <c:v>8875.4493063583832</c:v>
                </c:pt>
                <c:pt idx="2">
                  <c:v>23629.787624999997</c:v>
                </c:pt>
                <c:pt idx="3">
                  <c:v>74460.754000000001</c:v>
                </c:pt>
              </c:numCache>
            </c:numRef>
          </c:val>
          <c:extLst>
            <c:ext xmlns:c16="http://schemas.microsoft.com/office/drawing/2014/chart" uri="{C3380CC4-5D6E-409C-BE32-E72D297353CC}">
              <c16:uniqueId val="{00000000-107F-4CD8-9478-023D125764C7}"/>
            </c:ext>
          </c:extLst>
        </c:ser>
        <c:dLbls>
          <c:showLegendKey val="0"/>
          <c:showVal val="0"/>
          <c:showCatName val="0"/>
          <c:showSerName val="0"/>
          <c:showPercent val="0"/>
          <c:showBubbleSize val="0"/>
        </c:dLbls>
        <c:gapWidth val="219"/>
        <c:overlap val="-27"/>
        <c:axId val="141271344"/>
        <c:axId val="141263664"/>
      </c:barChart>
      <c:catAx>
        <c:axId val="141271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Plan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3664"/>
        <c:crosses val="autoZero"/>
        <c:auto val="1"/>
        <c:lblAlgn val="ctr"/>
        <c:lblOffset val="100"/>
        <c:noMultiLvlLbl val="0"/>
      </c:catAx>
      <c:valAx>
        <c:axId val="141263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CLV</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7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[saas revenue and churn analysis.xlsx]churn_analysis!PivotTable12</c:name>
    <c:fmtId val="2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Feature usage segment by customer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3"/>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churn_analysis!$H$10</c:f>
              <c:strCache>
                <c:ptCount val="1"/>
                <c:pt idx="0">
                  <c:v>Total</c:v>
                </c:pt>
              </c:strCache>
            </c:strRef>
          </c:tx>
          <c:dPt>
            <c:idx val="0"/>
            <c:bubble3D val="0"/>
            <c:explosion val="5"/>
            <c:spPr>
              <a:solidFill>
                <a:schemeClr val="accent3">
                  <a:lumMod val="60000"/>
                  <a:lumOff val="4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07F-4E21-A2F5-3D67F52B2D16}"/>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07F-4E21-A2F5-3D67F52B2D16}"/>
              </c:ext>
            </c:extLst>
          </c:dPt>
          <c:dPt>
            <c:idx val="2"/>
            <c:bubble3D val="0"/>
            <c:spPr>
              <a:solidFill>
                <a:schemeClr val="accent6">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07F-4E21-A2F5-3D67F52B2D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churn_analysis!$G$11:$G$14</c:f>
              <c:strCache>
                <c:ptCount val="3"/>
                <c:pt idx="0">
                  <c:v>Low Risk</c:v>
                </c:pt>
                <c:pt idx="1">
                  <c:v>High Risk</c:v>
                </c:pt>
                <c:pt idx="2">
                  <c:v>Medium Risk</c:v>
                </c:pt>
              </c:strCache>
            </c:strRef>
          </c:cat>
          <c:val>
            <c:numRef>
              <c:f>churn_analysis!$H$11:$H$14</c:f>
              <c:numCache>
                <c:formatCode>General</c:formatCode>
                <c:ptCount val="3"/>
                <c:pt idx="0">
                  <c:v>123</c:v>
                </c:pt>
                <c:pt idx="1">
                  <c:v>223</c:v>
                </c:pt>
                <c:pt idx="2">
                  <c:v>254</c:v>
                </c:pt>
              </c:numCache>
            </c:numRef>
          </c:val>
          <c:extLst>
            <c:ext xmlns:c16="http://schemas.microsoft.com/office/drawing/2014/chart" uri="{C3380CC4-5D6E-409C-BE32-E72D297353CC}">
              <c16:uniqueId val="{00000006-807F-4E21-A2F5-3D67F52B2D16}"/>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analysis.xlsx]revenue_analysis!PivotTable10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new</a:t>
            </a:r>
            <a:r>
              <a:rPr lang="en-US" baseline="0"/>
              <a:t> customer vs churned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revenue_analysis!$H$2</c:f>
              <c:strCache>
                <c:ptCount val="1"/>
                <c:pt idx="0">
                  <c:v>new customers</c:v>
                </c:pt>
              </c:strCache>
            </c:strRef>
          </c:tx>
          <c:spPr>
            <a:ln w="28575" cap="rnd">
              <a:solidFill>
                <a:schemeClr val="accent1"/>
              </a:solidFill>
              <a:round/>
            </a:ln>
            <a:effectLst/>
          </c:spPr>
          <c:marker>
            <c:symbol val="none"/>
          </c:marker>
          <c:cat>
            <c:strRef>
              <c:f>revenue_analysis!$G$3:$G$7</c:f>
              <c:strCache>
                <c:ptCount val="4"/>
                <c:pt idx="0">
                  <c:v>2022</c:v>
                </c:pt>
                <c:pt idx="1">
                  <c:v>2023</c:v>
                </c:pt>
                <c:pt idx="2">
                  <c:v>2024</c:v>
                </c:pt>
                <c:pt idx="3">
                  <c:v>2025</c:v>
                </c:pt>
              </c:strCache>
            </c:strRef>
          </c:cat>
          <c:val>
            <c:numRef>
              <c:f>revenue_analysis!$H$3:$H$7</c:f>
              <c:numCache>
                <c:formatCode>General</c:formatCode>
                <c:ptCount val="4"/>
                <c:pt idx="0">
                  <c:v>143</c:v>
                </c:pt>
                <c:pt idx="1">
                  <c:v>151</c:v>
                </c:pt>
                <c:pt idx="2">
                  <c:v>151</c:v>
                </c:pt>
                <c:pt idx="3">
                  <c:v>155</c:v>
                </c:pt>
              </c:numCache>
            </c:numRef>
          </c:val>
          <c:smooth val="0"/>
          <c:extLst>
            <c:ext xmlns:c16="http://schemas.microsoft.com/office/drawing/2014/chart" uri="{C3380CC4-5D6E-409C-BE32-E72D297353CC}">
              <c16:uniqueId val="{00000000-4574-48B1-A8B4-4439D5BD45AA}"/>
            </c:ext>
          </c:extLst>
        </c:ser>
        <c:ser>
          <c:idx val="1"/>
          <c:order val="1"/>
          <c:tx>
            <c:strRef>
              <c:f>revenue_analysis!$I$2</c:f>
              <c:strCache>
                <c:ptCount val="1"/>
                <c:pt idx="0">
                  <c:v>churned customers</c:v>
                </c:pt>
              </c:strCache>
            </c:strRef>
          </c:tx>
          <c:spPr>
            <a:ln w="28575" cap="rnd">
              <a:solidFill>
                <a:schemeClr val="accent2"/>
              </a:solidFill>
              <a:round/>
            </a:ln>
            <a:effectLst/>
          </c:spPr>
          <c:marker>
            <c:symbol val="none"/>
          </c:marker>
          <c:cat>
            <c:strRef>
              <c:f>revenue_analysis!$G$3:$G$7</c:f>
              <c:strCache>
                <c:ptCount val="4"/>
                <c:pt idx="0">
                  <c:v>2022</c:v>
                </c:pt>
                <c:pt idx="1">
                  <c:v>2023</c:v>
                </c:pt>
                <c:pt idx="2">
                  <c:v>2024</c:v>
                </c:pt>
                <c:pt idx="3">
                  <c:v>2025</c:v>
                </c:pt>
              </c:strCache>
            </c:strRef>
          </c:cat>
          <c:val>
            <c:numRef>
              <c:f>revenue_analysis!$I$3:$I$7</c:f>
              <c:numCache>
                <c:formatCode>General</c:formatCode>
                <c:ptCount val="4"/>
                <c:pt idx="0">
                  <c:v>36</c:v>
                </c:pt>
                <c:pt idx="1">
                  <c:v>72</c:v>
                </c:pt>
                <c:pt idx="2">
                  <c:v>91</c:v>
                </c:pt>
                <c:pt idx="3">
                  <c:v>114</c:v>
                </c:pt>
              </c:numCache>
            </c:numRef>
          </c:val>
          <c:smooth val="0"/>
          <c:extLst>
            <c:ext xmlns:c16="http://schemas.microsoft.com/office/drawing/2014/chart" uri="{C3380CC4-5D6E-409C-BE32-E72D297353CC}">
              <c16:uniqueId val="{00000001-4574-48B1-A8B4-4439D5BD45AA}"/>
            </c:ext>
          </c:extLst>
        </c:ser>
        <c:dLbls>
          <c:showLegendKey val="0"/>
          <c:showVal val="0"/>
          <c:showCatName val="0"/>
          <c:showSerName val="0"/>
          <c:showPercent val="0"/>
          <c:showBubbleSize val="0"/>
        </c:dLbls>
        <c:smooth val="0"/>
        <c:axId val="981565791"/>
        <c:axId val="981567231"/>
      </c:lineChart>
      <c:catAx>
        <c:axId val="981565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67231"/>
        <c:crosses val="autoZero"/>
        <c:auto val="1"/>
        <c:lblAlgn val="ctr"/>
        <c:lblOffset val="100"/>
        <c:noMultiLvlLbl val="0"/>
      </c:catAx>
      <c:valAx>
        <c:axId val="98156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15657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analysis.xlsx]revenue_analysis!PivotTable8</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a:t>
            </a:r>
            <a:r>
              <a:rPr lang="en-US" baseline="0"/>
              <a:t>l MRR Trend</a:t>
            </a:r>
            <a:endParaRPr lang="en-US"/>
          </a:p>
        </c:rich>
      </c:tx>
      <c:layout>
        <c:manualLayout>
          <c:xMode val="edge"/>
          <c:yMode val="edge"/>
          <c:x val="2.059011373578303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revenue_analysis!$B$2</c:f>
              <c:strCache>
                <c:ptCount val="1"/>
                <c:pt idx="0">
                  <c:v>Total</c:v>
                </c:pt>
              </c:strCache>
            </c:strRef>
          </c:tx>
          <c:spPr>
            <a:ln w="28575" cap="rnd">
              <a:solidFill>
                <a:schemeClr val="accent1"/>
              </a:solidFill>
              <a:round/>
            </a:ln>
            <a:effectLst/>
          </c:spPr>
          <c:marker>
            <c:symbol val="none"/>
          </c:marker>
          <c:cat>
            <c:multiLvlStrRef>
              <c:f>revenue_analysis!$A$3:$A$55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revenue_analysis!$B$3:$B$55</c:f>
              <c:numCache>
                <c:formatCode>General</c:formatCode>
                <c:ptCount val="48"/>
                <c:pt idx="0">
                  <c:v>0</c:v>
                </c:pt>
                <c:pt idx="1">
                  <c:v>7333.07</c:v>
                </c:pt>
                <c:pt idx="2">
                  <c:v>12301.16</c:v>
                </c:pt>
                <c:pt idx="3">
                  <c:v>24798.76</c:v>
                </c:pt>
                <c:pt idx="4">
                  <c:v>29091.88</c:v>
                </c:pt>
                <c:pt idx="5">
                  <c:v>38919.93</c:v>
                </c:pt>
                <c:pt idx="6">
                  <c:v>45097.72</c:v>
                </c:pt>
                <c:pt idx="7">
                  <c:v>54140.41</c:v>
                </c:pt>
                <c:pt idx="8">
                  <c:v>65198</c:v>
                </c:pt>
                <c:pt idx="9">
                  <c:v>86824.16</c:v>
                </c:pt>
                <c:pt idx="10">
                  <c:v>93168.11</c:v>
                </c:pt>
                <c:pt idx="11">
                  <c:v>96100.66</c:v>
                </c:pt>
                <c:pt idx="12">
                  <c:v>104773.35</c:v>
                </c:pt>
                <c:pt idx="13">
                  <c:v>115539.13</c:v>
                </c:pt>
                <c:pt idx="14">
                  <c:v>125258.61</c:v>
                </c:pt>
                <c:pt idx="15">
                  <c:v>129471.28</c:v>
                </c:pt>
                <c:pt idx="16">
                  <c:v>142401.69</c:v>
                </c:pt>
                <c:pt idx="17">
                  <c:v>142966.32</c:v>
                </c:pt>
                <c:pt idx="18">
                  <c:v>147630.35999999999</c:v>
                </c:pt>
                <c:pt idx="19">
                  <c:v>158920.70000000001</c:v>
                </c:pt>
                <c:pt idx="20">
                  <c:v>162830.01999999999</c:v>
                </c:pt>
                <c:pt idx="21">
                  <c:v>170763.72</c:v>
                </c:pt>
                <c:pt idx="22">
                  <c:v>184058.29</c:v>
                </c:pt>
                <c:pt idx="23">
                  <c:v>189579.35</c:v>
                </c:pt>
                <c:pt idx="24">
                  <c:v>191783.54</c:v>
                </c:pt>
                <c:pt idx="25">
                  <c:v>192379.41</c:v>
                </c:pt>
                <c:pt idx="26">
                  <c:v>196219.33</c:v>
                </c:pt>
                <c:pt idx="27">
                  <c:v>200076.61</c:v>
                </c:pt>
                <c:pt idx="28">
                  <c:v>217117.58</c:v>
                </c:pt>
                <c:pt idx="29">
                  <c:v>215810.52</c:v>
                </c:pt>
                <c:pt idx="30">
                  <c:v>222303.35999999999</c:v>
                </c:pt>
                <c:pt idx="31">
                  <c:v>242222.62</c:v>
                </c:pt>
                <c:pt idx="32">
                  <c:v>234749.84</c:v>
                </c:pt>
                <c:pt idx="33">
                  <c:v>239344.73</c:v>
                </c:pt>
                <c:pt idx="34">
                  <c:v>253489.47</c:v>
                </c:pt>
                <c:pt idx="35">
                  <c:v>260856.24</c:v>
                </c:pt>
                <c:pt idx="36">
                  <c:v>266142.93</c:v>
                </c:pt>
                <c:pt idx="37">
                  <c:v>274162.53999999998</c:v>
                </c:pt>
                <c:pt idx="38">
                  <c:v>280928.08</c:v>
                </c:pt>
                <c:pt idx="39">
                  <c:v>287791.15000000002</c:v>
                </c:pt>
                <c:pt idx="40">
                  <c:v>287207.82</c:v>
                </c:pt>
                <c:pt idx="41">
                  <c:v>280683.13</c:v>
                </c:pt>
                <c:pt idx="42">
                  <c:v>287661.73</c:v>
                </c:pt>
                <c:pt idx="43">
                  <c:v>287743</c:v>
                </c:pt>
                <c:pt idx="44">
                  <c:v>290824.44</c:v>
                </c:pt>
                <c:pt idx="45">
                  <c:v>280089.15000000002</c:v>
                </c:pt>
                <c:pt idx="46">
                  <c:v>285261.36</c:v>
                </c:pt>
                <c:pt idx="47">
                  <c:v>292628.61</c:v>
                </c:pt>
              </c:numCache>
            </c:numRef>
          </c:val>
          <c:smooth val="0"/>
          <c:extLst>
            <c:ext xmlns:c16="http://schemas.microsoft.com/office/drawing/2014/chart" uri="{C3380CC4-5D6E-409C-BE32-E72D297353CC}">
              <c16:uniqueId val="{00000000-FC8E-45A1-B636-3AFF4DA20C61}"/>
            </c:ext>
          </c:extLst>
        </c:ser>
        <c:dLbls>
          <c:showLegendKey val="0"/>
          <c:showVal val="0"/>
          <c:showCatName val="0"/>
          <c:showSerName val="0"/>
          <c:showPercent val="0"/>
          <c:showBubbleSize val="0"/>
        </c:dLbls>
        <c:smooth val="0"/>
        <c:axId val="926955903"/>
        <c:axId val="926932383"/>
      </c:lineChart>
      <c:catAx>
        <c:axId val="92695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32383"/>
        <c:crosses val="autoZero"/>
        <c:auto val="1"/>
        <c:lblAlgn val="ctr"/>
        <c:lblOffset val="100"/>
        <c:noMultiLvlLbl val="0"/>
      </c:catAx>
      <c:valAx>
        <c:axId val="92693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95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analysis.xlsx]churn_analysis!PivotTable12</c:name>
    <c:fmtId val="4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segmentation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churn_analysis!$H$10</c:f>
              <c:strCache>
                <c:ptCount val="1"/>
                <c:pt idx="0">
                  <c:v>Total</c:v>
                </c:pt>
              </c:strCache>
            </c:strRef>
          </c:tx>
          <c:spPr>
            <a:solidFill>
              <a:schemeClr val="accent1"/>
            </a:solidFill>
            <a:ln>
              <a:noFill/>
            </a:ln>
            <a:effectLst/>
          </c:spPr>
          <c:invertIfNegative val="0"/>
          <c:cat>
            <c:strRef>
              <c:f>churn_analysis!$G$11:$G$14</c:f>
              <c:strCache>
                <c:ptCount val="3"/>
                <c:pt idx="0">
                  <c:v>Low Risk</c:v>
                </c:pt>
                <c:pt idx="1">
                  <c:v>High Risk</c:v>
                </c:pt>
                <c:pt idx="2">
                  <c:v>Medium Risk</c:v>
                </c:pt>
              </c:strCache>
            </c:strRef>
          </c:cat>
          <c:val>
            <c:numRef>
              <c:f>churn_analysis!$H$11:$H$14</c:f>
              <c:numCache>
                <c:formatCode>General</c:formatCode>
                <c:ptCount val="3"/>
                <c:pt idx="0">
                  <c:v>123</c:v>
                </c:pt>
                <c:pt idx="1">
                  <c:v>223</c:v>
                </c:pt>
                <c:pt idx="2">
                  <c:v>254</c:v>
                </c:pt>
              </c:numCache>
            </c:numRef>
          </c:val>
          <c:extLst>
            <c:ext xmlns:c16="http://schemas.microsoft.com/office/drawing/2014/chart" uri="{C3380CC4-5D6E-409C-BE32-E72D297353CC}">
              <c16:uniqueId val="{00000000-8D7B-4167-9BE4-C5C0A4B8820E}"/>
            </c:ext>
          </c:extLst>
        </c:ser>
        <c:dLbls>
          <c:showLegendKey val="0"/>
          <c:showVal val="0"/>
          <c:showCatName val="0"/>
          <c:showSerName val="0"/>
          <c:showPercent val="0"/>
          <c:showBubbleSize val="0"/>
        </c:dLbls>
        <c:gapWidth val="219"/>
        <c:overlap val="-27"/>
        <c:axId val="1904987887"/>
        <c:axId val="1904988367"/>
      </c:barChart>
      <c:catAx>
        <c:axId val="190498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988367"/>
        <c:crosses val="autoZero"/>
        <c:auto val="1"/>
        <c:lblAlgn val="ctr"/>
        <c:lblOffset val="100"/>
        <c:noMultiLvlLbl val="0"/>
      </c:catAx>
      <c:valAx>
        <c:axId val="190498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98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analysis.xlsx]revenue_analysis!PivotTable8</c:name>
    <c:fmtId val="19"/>
  </c:pivotSource>
  <c:chart>
    <c:title>
      <c:tx>
        <c:rich>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r>
              <a:rPr lang="en-US" sz="1200"/>
              <a:t>Total</a:t>
            </a:r>
            <a:r>
              <a:rPr lang="en-US" sz="1200" baseline="0"/>
              <a:t> MRR</a:t>
            </a:r>
            <a:endParaRPr lang="en-US" sz="1200"/>
          </a:p>
        </c:rich>
      </c:tx>
      <c:layout>
        <c:manualLayout>
          <c:xMode val="edge"/>
          <c:yMode val="edge"/>
          <c:x val="4.9625278924824948E-2"/>
          <c:y val="5.405405405405405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revenue_analysis!$B$2</c:f>
              <c:strCache>
                <c:ptCount val="1"/>
                <c:pt idx="0">
                  <c:v>Total</c:v>
                </c:pt>
              </c:strCache>
            </c:strRef>
          </c:tx>
          <c:spPr>
            <a:ln w="28575" cap="rnd">
              <a:solidFill>
                <a:schemeClr val="accent2">
                  <a:lumMod val="75000"/>
                </a:schemeClr>
              </a:solidFill>
              <a:round/>
            </a:ln>
            <a:effectLst/>
          </c:spPr>
          <c:marker>
            <c:symbol val="none"/>
          </c:marker>
          <c:cat>
            <c:multiLvlStrRef>
              <c:f>revenue_analysis!$A$3:$A$55</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2022</c:v>
                  </c:pt>
                  <c:pt idx="12">
                    <c:v>2023</c:v>
                  </c:pt>
                  <c:pt idx="24">
                    <c:v>2024</c:v>
                  </c:pt>
                  <c:pt idx="36">
                    <c:v>2025</c:v>
                  </c:pt>
                </c:lvl>
              </c:multiLvlStrCache>
            </c:multiLvlStrRef>
          </c:cat>
          <c:val>
            <c:numRef>
              <c:f>revenue_analysis!$B$3:$B$55</c:f>
              <c:numCache>
                <c:formatCode>General</c:formatCode>
                <c:ptCount val="48"/>
                <c:pt idx="0">
                  <c:v>0</c:v>
                </c:pt>
                <c:pt idx="1">
                  <c:v>7333.07</c:v>
                </c:pt>
                <c:pt idx="2">
                  <c:v>12301.16</c:v>
                </c:pt>
                <c:pt idx="3">
                  <c:v>24798.76</c:v>
                </c:pt>
                <c:pt idx="4">
                  <c:v>29091.88</c:v>
                </c:pt>
                <c:pt idx="5">
                  <c:v>38919.93</c:v>
                </c:pt>
                <c:pt idx="6">
                  <c:v>45097.72</c:v>
                </c:pt>
                <c:pt idx="7">
                  <c:v>54140.41</c:v>
                </c:pt>
                <c:pt idx="8">
                  <c:v>65198</c:v>
                </c:pt>
                <c:pt idx="9">
                  <c:v>86824.16</c:v>
                </c:pt>
                <c:pt idx="10">
                  <c:v>93168.11</c:v>
                </c:pt>
                <c:pt idx="11">
                  <c:v>96100.66</c:v>
                </c:pt>
                <c:pt idx="12">
                  <c:v>104773.35</c:v>
                </c:pt>
                <c:pt idx="13">
                  <c:v>115539.13</c:v>
                </c:pt>
                <c:pt idx="14">
                  <c:v>125258.61</c:v>
                </c:pt>
                <c:pt idx="15">
                  <c:v>129471.28</c:v>
                </c:pt>
                <c:pt idx="16">
                  <c:v>142401.69</c:v>
                </c:pt>
                <c:pt idx="17">
                  <c:v>142966.32</c:v>
                </c:pt>
                <c:pt idx="18">
                  <c:v>147630.35999999999</c:v>
                </c:pt>
                <c:pt idx="19">
                  <c:v>158920.70000000001</c:v>
                </c:pt>
                <c:pt idx="20">
                  <c:v>162830.01999999999</c:v>
                </c:pt>
                <c:pt idx="21">
                  <c:v>170763.72</c:v>
                </c:pt>
                <c:pt idx="22">
                  <c:v>184058.29</c:v>
                </c:pt>
                <c:pt idx="23">
                  <c:v>189579.35</c:v>
                </c:pt>
                <c:pt idx="24">
                  <c:v>191783.54</c:v>
                </c:pt>
                <c:pt idx="25">
                  <c:v>192379.41</c:v>
                </c:pt>
                <c:pt idx="26">
                  <c:v>196219.33</c:v>
                </c:pt>
                <c:pt idx="27">
                  <c:v>200076.61</c:v>
                </c:pt>
                <c:pt idx="28">
                  <c:v>217117.58</c:v>
                </c:pt>
                <c:pt idx="29">
                  <c:v>215810.52</c:v>
                </c:pt>
                <c:pt idx="30">
                  <c:v>222303.35999999999</c:v>
                </c:pt>
                <c:pt idx="31">
                  <c:v>242222.62</c:v>
                </c:pt>
                <c:pt idx="32">
                  <c:v>234749.84</c:v>
                </c:pt>
                <c:pt idx="33">
                  <c:v>239344.73</c:v>
                </c:pt>
                <c:pt idx="34">
                  <c:v>253489.47</c:v>
                </c:pt>
                <c:pt idx="35">
                  <c:v>260856.24</c:v>
                </c:pt>
                <c:pt idx="36">
                  <c:v>266142.93</c:v>
                </c:pt>
                <c:pt idx="37">
                  <c:v>274162.53999999998</c:v>
                </c:pt>
                <c:pt idx="38">
                  <c:v>280928.08</c:v>
                </c:pt>
                <c:pt idx="39">
                  <c:v>287791.15000000002</c:v>
                </c:pt>
                <c:pt idx="40">
                  <c:v>287207.82</c:v>
                </c:pt>
                <c:pt idx="41">
                  <c:v>280683.13</c:v>
                </c:pt>
                <c:pt idx="42">
                  <c:v>287661.73</c:v>
                </c:pt>
                <c:pt idx="43">
                  <c:v>287743</c:v>
                </c:pt>
                <c:pt idx="44">
                  <c:v>290824.44</c:v>
                </c:pt>
                <c:pt idx="45">
                  <c:v>280089.15000000002</c:v>
                </c:pt>
                <c:pt idx="46">
                  <c:v>285261.36</c:v>
                </c:pt>
                <c:pt idx="47">
                  <c:v>292628.61</c:v>
                </c:pt>
              </c:numCache>
            </c:numRef>
          </c:val>
          <c:smooth val="0"/>
          <c:extLst>
            <c:ext xmlns:c16="http://schemas.microsoft.com/office/drawing/2014/chart" uri="{C3380CC4-5D6E-409C-BE32-E72D297353CC}">
              <c16:uniqueId val="{00000000-A642-4166-A2AD-3F443F93A93E}"/>
            </c:ext>
          </c:extLst>
        </c:ser>
        <c:dLbls>
          <c:showLegendKey val="0"/>
          <c:showVal val="0"/>
          <c:showCatName val="0"/>
          <c:showSerName val="0"/>
          <c:showPercent val="0"/>
          <c:showBubbleSize val="0"/>
        </c:dLbls>
        <c:smooth val="0"/>
        <c:axId val="569395551"/>
        <c:axId val="569402751"/>
      </c:lineChart>
      <c:catAx>
        <c:axId val="5693955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569402751"/>
        <c:crosses val="autoZero"/>
        <c:auto val="1"/>
        <c:lblAlgn val="ctr"/>
        <c:lblOffset val="100"/>
        <c:noMultiLvlLbl val="0"/>
      </c:catAx>
      <c:valAx>
        <c:axId val="569402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56939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analysis.xlsx]churn_analysis!PivotTable7</c:name>
    <c:fmtId val="3"/>
  </c:pivotSource>
  <c:chart>
    <c:title>
      <c:tx>
        <c:rich>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r>
              <a:rPr lang="en-US" sz="1200"/>
              <a:t>Total Customer</a:t>
            </a:r>
          </a:p>
        </c:rich>
      </c:tx>
      <c:layout>
        <c:manualLayout>
          <c:xMode val="edge"/>
          <c:yMode val="edge"/>
          <c:x val="1.3942820905776034E-2"/>
          <c:y val="3.773584905660377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churn_analysis!$K$2</c:f>
              <c:strCache>
                <c:ptCount val="1"/>
                <c:pt idx="0">
                  <c:v>Total</c:v>
                </c:pt>
              </c:strCache>
            </c:strRef>
          </c:tx>
          <c:spPr>
            <a:ln w="28575" cap="rnd">
              <a:solidFill>
                <a:schemeClr val="accent2">
                  <a:lumMod val="75000"/>
                </a:schemeClr>
              </a:solidFill>
              <a:round/>
            </a:ln>
            <a:effectLst/>
          </c:spPr>
          <c:marker>
            <c:symbol val="none"/>
          </c:marker>
          <c:cat>
            <c:strRef>
              <c:f>churn_analysis!$J$3:$J$8</c:f>
              <c:strCache>
                <c:ptCount val="5"/>
                <c:pt idx="0">
                  <c:v>&lt;2/14/2022</c:v>
                </c:pt>
                <c:pt idx="1">
                  <c:v>2022</c:v>
                </c:pt>
                <c:pt idx="2">
                  <c:v>2023</c:v>
                </c:pt>
                <c:pt idx="3">
                  <c:v>2024</c:v>
                </c:pt>
                <c:pt idx="4">
                  <c:v>2025</c:v>
                </c:pt>
              </c:strCache>
            </c:strRef>
          </c:cat>
          <c:val>
            <c:numRef>
              <c:f>churn_analysis!$K$3:$K$8</c:f>
              <c:numCache>
                <c:formatCode>General</c:formatCode>
                <c:ptCount val="5"/>
                <c:pt idx="0">
                  <c:v>287</c:v>
                </c:pt>
                <c:pt idx="1">
                  <c:v>36</c:v>
                </c:pt>
                <c:pt idx="2">
                  <c:v>72</c:v>
                </c:pt>
                <c:pt idx="3">
                  <c:v>91</c:v>
                </c:pt>
                <c:pt idx="4">
                  <c:v>114</c:v>
                </c:pt>
              </c:numCache>
            </c:numRef>
          </c:val>
          <c:smooth val="0"/>
          <c:extLst>
            <c:ext xmlns:c16="http://schemas.microsoft.com/office/drawing/2014/chart" uri="{C3380CC4-5D6E-409C-BE32-E72D297353CC}">
              <c16:uniqueId val="{00000000-0355-4B98-AB1C-F45DDCF3E467}"/>
            </c:ext>
          </c:extLst>
        </c:ser>
        <c:dLbls>
          <c:showLegendKey val="0"/>
          <c:showVal val="0"/>
          <c:showCatName val="0"/>
          <c:showSerName val="0"/>
          <c:showPercent val="0"/>
          <c:showBubbleSize val="0"/>
        </c:dLbls>
        <c:smooth val="0"/>
        <c:axId val="569376831"/>
        <c:axId val="569373951"/>
      </c:lineChart>
      <c:catAx>
        <c:axId val="5693768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569373951"/>
        <c:crosses val="autoZero"/>
        <c:auto val="1"/>
        <c:lblAlgn val="ctr"/>
        <c:lblOffset val="100"/>
        <c:noMultiLvlLbl val="0"/>
      </c:catAx>
      <c:valAx>
        <c:axId val="569373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56937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analysis.xlsx]churn_analysis!PivotTable6</c:name>
    <c:fmtId val="6"/>
  </c:pivotSource>
  <c:chart>
    <c:title>
      <c:tx>
        <c:rich>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r>
              <a:rPr lang="en-US" sz="1200"/>
              <a:t>Top Chrun Reason</a:t>
            </a:r>
          </a:p>
        </c:rich>
      </c:tx>
      <c:layout>
        <c:manualLayout>
          <c:xMode val="edge"/>
          <c:yMode val="edge"/>
          <c:x val="9.1815701255164889E-2"/>
          <c:y val="1.951215942051296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661010195507738"/>
          <c:y val="0.1188781751266467"/>
          <c:w val="0.60138769782490054"/>
          <c:h val="0.84586542351468208"/>
        </c:manualLayout>
      </c:layout>
      <c:barChart>
        <c:barDir val="bar"/>
        <c:grouping val="clustered"/>
        <c:varyColors val="0"/>
        <c:ser>
          <c:idx val="0"/>
          <c:order val="0"/>
          <c:tx>
            <c:strRef>
              <c:f>churn_analysis!$B$18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churn_analysis!$A$19:$A$26</c:f>
              <c:strCache>
                <c:ptCount val="7"/>
                <c:pt idx="0">
                  <c:v>Switched Competitor</c:v>
                </c:pt>
                <c:pt idx="1">
                  <c:v>Missing Features</c:v>
                </c:pt>
                <c:pt idx="2">
                  <c:v>No Longer Needed</c:v>
                </c:pt>
                <c:pt idx="3">
                  <c:v>Poor Support</c:v>
                </c:pt>
                <c:pt idx="4">
                  <c:v>Company Closed</c:v>
                </c:pt>
                <c:pt idx="5">
                  <c:v>Price Too High</c:v>
                </c:pt>
                <c:pt idx="6">
                  <c:v>Budget Cuts</c:v>
                </c:pt>
              </c:strCache>
            </c:strRef>
          </c:cat>
          <c:val>
            <c:numRef>
              <c:f>churn_analysis!$B$19:$B$26</c:f>
              <c:numCache>
                <c:formatCode>General</c:formatCode>
                <c:ptCount val="7"/>
                <c:pt idx="0">
                  <c:v>38</c:v>
                </c:pt>
                <c:pt idx="1">
                  <c:v>40</c:v>
                </c:pt>
                <c:pt idx="2">
                  <c:v>41</c:v>
                </c:pt>
                <c:pt idx="3">
                  <c:v>42</c:v>
                </c:pt>
                <c:pt idx="4">
                  <c:v>48</c:v>
                </c:pt>
                <c:pt idx="5">
                  <c:v>51</c:v>
                </c:pt>
                <c:pt idx="6">
                  <c:v>53</c:v>
                </c:pt>
              </c:numCache>
            </c:numRef>
          </c:val>
          <c:extLst>
            <c:ext xmlns:c16="http://schemas.microsoft.com/office/drawing/2014/chart" uri="{C3380CC4-5D6E-409C-BE32-E72D297353CC}">
              <c16:uniqueId val="{00000000-D9F9-4D5D-85BB-4CED1CD9B8CB}"/>
            </c:ext>
          </c:extLst>
        </c:ser>
        <c:dLbls>
          <c:dLblPos val="outEnd"/>
          <c:showLegendKey val="0"/>
          <c:showVal val="1"/>
          <c:showCatName val="0"/>
          <c:showSerName val="0"/>
          <c:showPercent val="0"/>
          <c:showBubbleSize val="0"/>
        </c:dLbls>
        <c:gapWidth val="182"/>
        <c:axId val="569414271"/>
        <c:axId val="569381151"/>
      </c:barChart>
      <c:catAx>
        <c:axId val="5694142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569381151"/>
        <c:crosses val="autoZero"/>
        <c:auto val="1"/>
        <c:lblAlgn val="ctr"/>
        <c:lblOffset val="100"/>
        <c:noMultiLvlLbl val="0"/>
      </c:catAx>
      <c:valAx>
        <c:axId val="569381151"/>
        <c:scaling>
          <c:orientation val="minMax"/>
        </c:scaling>
        <c:delete val="1"/>
        <c:axPos val="b"/>
        <c:numFmt formatCode="General" sourceLinked="1"/>
        <c:majorTickMark val="none"/>
        <c:minorTickMark val="none"/>
        <c:tickLblPos val="nextTo"/>
        <c:crossAx val="569414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[saas revenue and churn analysis.xlsx]churn_analysis!PivotTable1</c:name>
    <c:fmtId val="3"/>
  </c:pivotSource>
  <c:chart>
    <c:title>
      <c:tx>
        <c:rich>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r>
              <a:rPr lang="en-US" sz="1200"/>
              <a:t>Churn by Plan</a:t>
            </a:r>
          </a:p>
        </c:rich>
      </c:tx>
      <c:layout>
        <c:manualLayout>
          <c:xMode val="edge"/>
          <c:yMode val="edge"/>
          <c:x val="4.8729028871391078E-2"/>
          <c:y val="8.718385030734664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619499413346955E-2"/>
          <c:y val="0.12168642951251649"/>
          <c:w val="0.90876100117330605"/>
          <c:h val="0.75647816750178953"/>
        </c:manualLayout>
      </c:layout>
      <c:barChart>
        <c:barDir val="col"/>
        <c:grouping val="clustered"/>
        <c:varyColors val="0"/>
        <c:ser>
          <c:idx val="0"/>
          <c:order val="0"/>
          <c:tx>
            <c:strRef>
              <c:f>churn_analysis!$B$2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churn_analysis!$A$3:$A$7</c:f>
              <c:strCache>
                <c:ptCount val="4"/>
                <c:pt idx="0">
                  <c:v>Enterprise</c:v>
                </c:pt>
                <c:pt idx="1">
                  <c:v>Business</c:v>
                </c:pt>
                <c:pt idx="2">
                  <c:v>Professional</c:v>
                </c:pt>
                <c:pt idx="3">
                  <c:v>Starter</c:v>
                </c:pt>
              </c:strCache>
            </c:strRef>
          </c:cat>
          <c:val>
            <c:numRef>
              <c:f>churn_analysis!$B$3:$B$7</c:f>
              <c:numCache>
                <c:formatCode>0.000</c:formatCode>
                <c:ptCount val="4"/>
                <c:pt idx="0">
                  <c:v>0.22222222222222221</c:v>
                </c:pt>
                <c:pt idx="1">
                  <c:v>0.27397260273972601</c:v>
                </c:pt>
                <c:pt idx="2">
                  <c:v>0.35135135135135137</c:v>
                </c:pt>
                <c:pt idx="3">
                  <c:v>0.60240963855421692</c:v>
                </c:pt>
              </c:numCache>
            </c:numRef>
          </c:val>
          <c:extLst>
            <c:ext xmlns:c16="http://schemas.microsoft.com/office/drawing/2014/chart" uri="{C3380CC4-5D6E-409C-BE32-E72D297353CC}">
              <c16:uniqueId val="{00000000-EA2C-4B45-AB41-61CCAAE53027}"/>
            </c:ext>
          </c:extLst>
        </c:ser>
        <c:dLbls>
          <c:dLblPos val="outEnd"/>
          <c:showLegendKey val="0"/>
          <c:showVal val="1"/>
          <c:showCatName val="0"/>
          <c:showSerName val="0"/>
          <c:showPercent val="0"/>
          <c:showBubbleSize val="0"/>
        </c:dLbls>
        <c:gapWidth val="219"/>
        <c:overlap val="-27"/>
        <c:axId val="569365791"/>
        <c:axId val="569382591"/>
      </c:barChart>
      <c:catAx>
        <c:axId val="5693657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569382591"/>
        <c:crosses val="autoZero"/>
        <c:auto val="1"/>
        <c:lblAlgn val="ctr"/>
        <c:lblOffset val="100"/>
        <c:noMultiLvlLbl val="0"/>
      </c:catAx>
      <c:valAx>
        <c:axId val="569382591"/>
        <c:scaling>
          <c:orientation val="minMax"/>
        </c:scaling>
        <c:delete val="1"/>
        <c:axPos val="l"/>
        <c:numFmt formatCode="0.000" sourceLinked="1"/>
        <c:majorTickMark val="none"/>
        <c:minorTickMark val="none"/>
        <c:tickLblPos val="nextTo"/>
        <c:crossAx val="56936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6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47624</xdr:rowOff>
    </xdr:from>
    <xdr:to>
      <xdr:col>6</xdr:col>
      <xdr:colOff>161925</xdr:colOff>
      <xdr:row>10</xdr:row>
      <xdr:rowOff>76199</xdr:rowOff>
    </xdr:to>
    <xdr:graphicFrame macro="">
      <xdr:nvGraphicFramePr>
        <xdr:cNvPr id="2" name="Chart 1">
          <a:extLst>
            <a:ext uri="{FF2B5EF4-FFF2-40B4-BE49-F238E27FC236}">
              <a16:creationId xmlns:a16="http://schemas.microsoft.com/office/drawing/2014/main" id="{A1270986-8B59-4EE3-8E83-C29E3088F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219074</xdr:colOff>
      <xdr:row>0</xdr:row>
      <xdr:rowOff>38100</xdr:rowOff>
    </xdr:from>
    <xdr:to>
      <xdr:col>12</xdr:col>
      <xdr:colOff>352425</xdr:colOff>
      <xdr:row>10</xdr:row>
      <xdr:rowOff>47625</xdr:rowOff>
    </xdr:to>
    <xdr:graphicFrame macro="">
      <xdr:nvGraphicFramePr>
        <xdr:cNvPr id="3" name="Chart 2">
          <a:extLst>
            <a:ext uri="{FF2B5EF4-FFF2-40B4-BE49-F238E27FC236}">
              <a16:creationId xmlns:a16="http://schemas.microsoft.com/office/drawing/2014/main" id="{5F10ADA1-2A5D-474B-90C3-9994619DC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10</xdr:row>
      <xdr:rowOff>76200</xdr:rowOff>
    </xdr:from>
    <xdr:to>
      <xdr:col>7</xdr:col>
      <xdr:colOff>381000</xdr:colOff>
      <xdr:row>24</xdr:row>
      <xdr:rowOff>152400</xdr:rowOff>
    </xdr:to>
    <xdr:graphicFrame macro="">
      <xdr:nvGraphicFramePr>
        <xdr:cNvPr id="4" name="Chart 3">
          <a:extLst>
            <a:ext uri="{FF2B5EF4-FFF2-40B4-BE49-F238E27FC236}">
              <a16:creationId xmlns:a16="http://schemas.microsoft.com/office/drawing/2014/main" id="{C9A1B5B2-7D99-4ED4-9959-44F9D6CA0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419099</xdr:colOff>
      <xdr:row>10</xdr:row>
      <xdr:rowOff>76200</xdr:rowOff>
    </xdr:from>
    <xdr:to>
      <xdr:col>13</xdr:col>
      <xdr:colOff>485775</xdr:colOff>
      <xdr:row>24</xdr:row>
      <xdr:rowOff>152400</xdr:rowOff>
    </xdr:to>
    <xdr:graphicFrame macro="">
      <xdr:nvGraphicFramePr>
        <xdr:cNvPr id="5" name="Chart 4">
          <a:extLst>
            <a:ext uri="{FF2B5EF4-FFF2-40B4-BE49-F238E27FC236}">
              <a16:creationId xmlns:a16="http://schemas.microsoft.com/office/drawing/2014/main" id="{1FC0E524-5DCA-43B2-8E63-6D788C40C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419100</xdr:colOff>
      <xdr:row>25</xdr:row>
      <xdr:rowOff>9524</xdr:rowOff>
    </xdr:from>
    <xdr:to>
      <xdr:col>15</xdr:col>
      <xdr:colOff>228600</xdr:colOff>
      <xdr:row>40</xdr:row>
      <xdr:rowOff>152399</xdr:rowOff>
    </xdr:to>
    <xdr:graphicFrame macro="">
      <xdr:nvGraphicFramePr>
        <xdr:cNvPr id="6" name="Chart 5">
          <a:extLst>
            <a:ext uri="{FF2B5EF4-FFF2-40B4-BE49-F238E27FC236}">
              <a16:creationId xmlns:a16="http://schemas.microsoft.com/office/drawing/2014/main" id="{97B4B038-5B8B-425E-B6F5-6785C8007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25</xdr:row>
      <xdr:rowOff>0</xdr:rowOff>
    </xdr:from>
    <xdr:to>
      <xdr:col>7</xdr:col>
      <xdr:colOff>371475</xdr:colOff>
      <xdr:row>40</xdr:row>
      <xdr:rowOff>171450</xdr:rowOff>
    </xdr:to>
    <xdr:graphicFrame macro="">
      <xdr:nvGraphicFramePr>
        <xdr:cNvPr id="7" name="Chart 6">
          <a:extLst>
            <a:ext uri="{FF2B5EF4-FFF2-40B4-BE49-F238E27FC236}">
              <a16:creationId xmlns:a16="http://schemas.microsoft.com/office/drawing/2014/main" id="{7286B2B0-A235-4A00-BA50-E443D6BE9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390525</xdr:colOff>
      <xdr:row>0</xdr:row>
      <xdr:rowOff>0</xdr:rowOff>
    </xdr:from>
    <xdr:to>
      <xdr:col>20</xdr:col>
      <xdr:colOff>523874</xdr:colOff>
      <xdr:row>10</xdr:row>
      <xdr:rowOff>28575</xdr:rowOff>
    </xdr:to>
    <xdr:graphicFrame macro="">
      <xdr:nvGraphicFramePr>
        <xdr:cNvPr id="8" name="Chart 7">
          <a:extLst>
            <a:ext uri="{FF2B5EF4-FFF2-40B4-BE49-F238E27FC236}">
              <a16:creationId xmlns:a16="http://schemas.microsoft.com/office/drawing/2014/main" id="{CDCD707E-B485-4BB4-81DA-04120E790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561975</xdr:colOff>
      <xdr:row>10</xdr:row>
      <xdr:rowOff>95250</xdr:rowOff>
    </xdr:from>
    <xdr:to>
      <xdr:col>21</xdr:col>
      <xdr:colOff>257175</xdr:colOff>
      <xdr:row>24</xdr:row>
      <xdr:rowOff>171450</xdr:rowOff>
    </xdr:to>
    <xdr:graphicFrame macro="">
      <xdr:nvGraphicFramePr>
        <xdr:cNvPr id="9" name="Chart 8">
          <a:extLst>
            <a:ext uri="{FF2B5EF4-FFF2-40B4-BE49-F238E27FC236}">
              <a16:creationId xmlns:a16="http://schemas.microsoft.com/office/drawing/2014/main" id="{21F50096-1190-483B-9697-ACFCDD442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285750</xdr:colOff>
      <xdr:row>25</xdr:row>
      <xdr:rowOff>28574</xdr:rowOff>
    </xdr:from>
    <xdr:to>
      <xdr:col>22</xdr:col>
      <xdr:colOff>114300</xdr:colOff>
      <xdr:row>40</xdr:row>
      <xdr:rowOff>114299</xdr:rowOff>
    </xdr:to>
    <xdr:graphicFrame macro="">
      <xdr:nvGraphicFramePr>
        <xdr:cNvPr id="10" name="Chart 9">
          <a:extLst>
            <a:ext uri="{FF2B5EF4-FFF2-40B4-BE49-F238E27FC236}">
              <a16:creationId xmlns:a16="http://schemas.microsoft.com/office/drawing/2014/main" id="{4BFF7AB6-C552-4847-B73D-D916FBFF1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85725</xdr:colOff>
      <xdr:row>41</xdr:row>
      <xdr:rowOff>95250</xdr:rowOff>
    </xdr:from>
    <xdr:to>
      <xdr:col>7</xdr:col>
      <xdr:colOff>390525</xdr:colOff>
      <xdr:row>55</xdr:row>
      <xdr:rowOff>171450</xdr:rowOff>
    </xdr:to>
    <xdr:graphicFrame macro="">
      <xdr:nvGraphicFramePr>
        <xdr:cNvPr id="11" name="Chart 10">
          <a:extLst>
            <a:ext uri="{FF2B5EF4-FFF2-40B4-BE49-F238E27FC236}">
              <a16:creationId xmlns:a16="http://schemas.microsoft.com/office/drawing/2014/main" id="{C7BC34FC-581E-43D0-BE74-B2DDDA7D4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447675</xdr:colOff>
      <xdr:row>41</xdr:row>
      <xdr:rowOff>95250</xdr:rowOff>
    </xdr:from>
    <xdr:to>
      <xdr:col>15</xdr:col>
      <xdr:colOff>142875</xdr:colOff>
      <xdr:row>55</xdr:row>
      <xdr:rowOff>171450</xdr:rowOff>
    </xdr:to>
    <xdr:graphicFrame macro="">
      <xdr:nvGraphicFramePr>
        <xdr:cNvPr id="12" name="Chart 11">
          <a:extLst>
            <a:ext uri="{FF2B5EF4-FFF2-40B4-BE49-F238E27FC236}">
              <a16:creationId xmlns:a16="http://schemas.microsoft.com/office/drawing/2014/main" id="{C0E3CCC5-C8CD-4A20-A395-1DCD01825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180975</xdr:colOff>
      <xdr:row>4</xdr:row>
      <xdr:rowOff>57150</xdr:rowOff>
    </xdr:from>
    <xdr:to>
      <xdr:col>5</xdr:col>
      <xdr:colOff>390525</xdr:colOff>
      <xdr:row>9</xdr:row>
      <xdr:rowOff>142874</xdr:rowOff>
    </xdr:to>
    <xdr:sp macro="" textlink="">
      <xdr:nvSpPr>
        <xdr:cNvPr id="48" name="Rectangle: Rounded Corners 47">
          <a:extLst>
            <a:ext uri="{FF2B5EF4-FFF2-40B4-BE49-F238E27FC236}">
              <a16:creationId xmlns:a16="http://schemas.microsoft.com/office/drawing/2014/main" id="{0E9109E5-2E9A-69FD-D954-9ADFCC0FC721}"/>
            </a:ext>
          </a:extLst>
        </xdr:cNvPr>
        <xdr:cNvSpPr/>
      </xdr:nvSpPr>
      <xdr:spPr>
        <a:xfrm>
          <a:off x="180975" y="838200"/>
          <a:ext cx="3257550" cy="1038224"/>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200025</xdr:colOff>
      <xdr:row>10</xdr:row>
      <xdr:rowOff>95249</xdr:rowOff>
    </xdr:from>
    <xdr:to>
      <xdr:col>5</xdr:col>
      <xdr:colOff>400050</xdr:colOff>
      <xdr:row>14</xdr:row>
      <xdr:rowOff>47624</xdr:rowOff>
    </xdr:to>
    <xdr:sp macro="" textlink="">
      <xdr:nvSpPr>
        <xdr:cNvPr id="47" name="Rectangle: Rounded Corners 46">
          <a:extLst>
            <a:ext uri="{FF2B5EF4-FFF2-40B4-BE49-F238E27FC236}">
              <a16:creationId xmlns:a16="http://schemas.microsoft.com/office/drawing/2014/main" id="{920B509D-174B-B867-218B-2A14DDE31258}"/>
            </a:ext>
          </a:extLst>
        </xdr:cNvPr>
        <xdr:cNvSpPr/>
      </xdr:nvSpPr>
      <xdr:spPr>
        <a:xfrm>
          <a:off x="200025" y="2019299"/>
          <a:ext cx="3248025" cy="714375"/>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0</xdr:col>
      <xdr:colOff>123825</xdr:colOff>
      <xdr:row>14</xdr:row>
      <xdr:rowOff>180975</xdr:rowOff>
    </xdr:from>
    <xdr:to>
      <xdr:col>5</xdr:col>
      <xdr:colOff>400050</xdr:colOff>
      <xdr:row>25</xdr:row>
      <xdr:rowOff>0</xdr:rowOff>
    </xdr:to>
    <xdr:sp macro="" textlink="">
      <xdr:nvSpPr>
        <xdr:cNvPr id="46" name="Rectangle: Rounded Corners 45">
          <a:extLst>
            <a:ext uri="{FF2B5EF4-FFF2-40B4-BE49-F238E27FC236}">
              <a16:creationId xmlns:a16="http://schemas.microsoft.com/office/drawing/2014/main" id="{E5A61ECA-14BE-760C-14E9-7C235AD884D8}"/>
            </a:ext>
          </a:extLst>
        </xdr:cNvPr>
        <xdr:cNvSpPr/>
      </xdr:nvSpPr>
      <xdr:spPr>
        <a:xfrm>
          <a:off x="123825" y="2867025"/>
          <a:ext cx="3324225" cy="1914525"/>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6</xdr:col>
      <xdr:colOff>66675</xdr:colOff>
      <xdr:row>4</xdr:row>
      <xdr:rowOff>57150</xdr:rowOff>
    </xdr:from>
    <xdr:to>
      <xdr:col>10</xdr:col>
      <xdr:colOff>514350</xdr:colOff>
      <xdr:row>24</xdr:row>
      <xdr:rowOff>171450</xdr:rowOff>
    </xdr:to>
    <xdr:sp macro="" textlink="">
      <xdr:nvSpPr>
        <xdr:cNvPr id="45" name="Rectangle: Rounded Corners 44">
          <a:extLst>
            <a:ext uri="{FF2B5EF4-FFF2-40B4-BE49-F238E27FC236}">
              <a16:creationId xmlns:a16="http://schemas.microsoft.com/office/drawing/2014/main" id="{1698DA28-FEA9-07BC-8A31-26A50EC2B968}"/>
            </a:ext>
          </a:extLst>
        </xdr:cNvPr>
        <xdr:cNvSpPr/>
      </xdr:nvSpPr>
      <xdr:spPr>
        <a:xfrm>
          <a:off x="3724275" y="838200"/>
          <a:ext cx="2886075" cy="3924300"/>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10</xdr:col>
      <xdr:colOff>552450</xdr:colOff>
      <xdr:row>16</xdr:row>
      <xdr:rowOff>19050</xdr:rowOff>
    </xdr:from>
    <xdr:to>
      <xdr:col>20</xdr:col>
      <xdr:colOff>171450</xdr:colOff>
      <xdr:row>26</xdr:row>
      <xdr:rowOff>85725</xdr:rowOff>
    </xdr:to>
    <xdr:sp macro="" textlink="">
      <xdr:nvSpPr>
        <xdr:cNvPr id="44" name="Rectangle: Rounded Corners 43">
          <a:extLst>
            <a:ext uri="{FF2B5EF4-FFF2-40B4-BE49-F238E27FC236}">
              <a16:creationId xmlns:a16="http://schemas.microsoft.com/office/drawing/2014/main" id="{6E0CEABD-C375-8D40-7493-FE544CD304E2}"/>
            </a:ext>
          </a:extLst>
        </xdr:cNvPr>
        <xdr:cNvSpPr/>
      </xdr:nvSpPr>
      <xdr:spPr>
        <a:xfrm>
          <a:off x="6648450" y="3086100"/>
          <a:ext cx="5715000" cy="1971675"/>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10</xdr:col>
      <xdr:colOff>590549</xdr:colOff>
      <xdr:row>4</xdr:row>
      <xdr:rowOff>66675</xdr:rowOff>
    </xdr:from>
    <xdr:to>
      <xdr:col>20</xdr:col>
      <xdr:colOff>171450</xdr:colOff>
      <xdr:row>16</xdr:row>
      <xdr:rowOff>0</xdr:rowOff>
    </xdr:to>
    <xdr:sp macro="" textlink="">
      <xdr:nvSpPr>
        <xdr:cNvPr id="43" name="Rectangle: Rounded Corners 42">
          <a:extLst>
            <a:ext uri="{FF2B5EF4-FFF2-40B4-BE49-F238E27FC236}">
              <a16:creationId xmlns:a16="http://schemas.microsoft.com/office/drawing/2014/main" id="{BDF6843A-7A0B-3CB3-F3D5-F0FC2AF317BB}"/>
            </a:ext>
          </a:extLst>
        </xdr:cNvPr>
        <xdr:cNvSpPr/>
      </xdr:nvSpPr>
      <xdr:spPr>
        <a:xfrm>
          <a:off x="6686549" y="847725"/>
          <a:ext cx="5676901" cy="2219325"/>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18</xdr:col>
      <xdr:colOff>152400</xdr:colOff>
      <xdr:row>0</xdr:row>
      <xdr:rowOff>57150</xdr:rowOff>
    </xdr:from>
    <xdr:to>
      <xdr:col>20</xdr:col>
      <xdr:colOff>95250</xdr:colOff>
      <xdr:row>3</xdr:row>
      <xdr:rowOff>38100</xdr:rowOff>
    </xdr:to>
    <xdr:sp macro="" textlink="">
      <xdr:nvSpPr>
        <xdr:cNvPr id="42" name="Rectangle: Rounded Corners 41">
          <a:extLst>
            <a:ext uri="{FF2B5EF4-FFF2-40B4-BE49-F238E27FC236}">
              <a16:creationId xmlns:a16="http://schemas.microsoft.com/office/drawing/2014/main" id="{25FDE07A-5C1F-07E8-C29E-1C62081F697A}"/>
            </a:ext>
          </a:extLst>
        </xdr:cNvPr>
        <xdr:cNvSpPr/>
      </xdr:nvSpPr>
      <xdr:spPr>
        <a:xfrm>
          <a:off x="11125200" y="57150"/>
          <a:ext cx="1162050" cy="571500"/>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xdr:colOff>
      <xdr:row>0</xdr:row>
      <xdr:rowOff>57150</xdr:rowOff>
    </xdr:from>
    <xdr:to>
      <xdr:col>17</xdr:col>
      <xdr:colOff>590550</xdr:colOff>
      <xdr:row>3</xdr:row>
      <xdr:rowOff>38100</xdr:rowOff>
    </xdr:to>
    <xdr:sp macro="" textlink="">
      <xdr:nvSpPr>
        <xdr:cNvPr id="41" name="Rectangle: Rounded Corners 40">
          <a:extLst>
            <a:ext uri="{FF2B5EF4-FFF2-40B4-BE49-F238E27FC236}">
              <a16:creationId xmlns:a16="http://schemas.microsoft.com/office/drawing/2014/main" id="{4DBDC0DE-D2D0-EE1D-BC8B-46CF01CAB07D}"/>
            </a:ext>
          </a:extLst>
        </xdr:cNvPr>
        <xdr:cNvSpPr/>
      </xdr:nvSpPr>
      <xdr:spPr>
        <a:xfrm>
          <a:off x="9791700" y="57150"/>
          <a:ext cx="1162050" cy="571500"/>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0</xdr:colOff>
      <xdr:row>0</xdr:row>
      <xdr:rowOff>57150</xdr:rowOff>
    </xdr:from>
    <xdr:to>
      <xdr:col>15</xdr:col>
      <xdr:colOff>552450</xdr:colOff>
      <xdr:row>3</xdr:row>
      <xdr:rowOff>38100</xdr:rowOff>
    </xdr:to>
    <xdr:sp macro="" textlink="">
      <xdr:nvSpPr>
        <xdr:cNvPr id="40" name="Rectangle: Rounded Corners 39">
          <a:extLst>
            <a:ext uri="{FF2B5EF4-FFF2-40B4-BE49-F238E27FC236}">
              <a16:creationId xmlns:a16="http://schemas.microsoft.com/office/drawing/2014/main" id="{934B5978-7F02-620F-F875-725F365F23A8}"/>
            </a:ext>
          </a:extLst>
        </xdr:cNvPr>
        <xdr:cNvSpPr/>
      </xdr:nvSpPr>
      <xdr:spPr>
        <a:xfrm>
          <a:off x="8534400" y="57150"/>
          <a:ext cx="1162050" cy="571500"/>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581025</xdr:colOff>
      <xdr:row>4</xdr:row>
      <xdr:rowOff>66675</xdr:rowOff>
    </xdr:from>
    <xdr:to>
      <xdr:col>20</xdr:col>
      <xdr:colOff>85725</xdr:colOff>
      <xdr:row>15</xdr:row>
      <xdr:rowOff>85725</xdr:rowOff>
    </xdr:to>
    <xdr:graphicFrame macro="">
      <xdr:nvGraphicFramePr>
        <xdr:cNvPr id="2" name="Chart 1">
          <a:extLst>
            <a:ext uri="{FF2B5EF4-FFF2-40B4-BE49-F238E27FC236}">
              <a16:creationId xmlns:a16="http://schemas.microsoft.com/office/drawing/2014/main" id="{FD4CE897-E30B-438C-A113-E6350EC01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133350</xdr:colOff>
      <xdr:row>16</xdr:row>
      <xdr:rowOff>66675</xdr:rowOff>
    </xdr:from>
    <xdr:to>
      <xdr:col>20</xdr:col>
      <xdr:colOff>323850</xdr:colOff>
      <xdr:row>25</xdr:row>
      <xdr:rowOff>161925</xdr:rowOff>
    </xdr:to>
    <xdr:graphicFrame macro="">
      <xdr:nvGraphicFramePr>
        <xdr:cNvPr id="3" name="Chart 2">
          <a:extLst>
            <a:ext uri="{FF2B5EF4-FFF2-40B4-BE49-F238E27FC236}">
              <a16:creationId xmlns:a16="http://schemas.microsoft.com/office/drawing/2014/main" id="{9B5228EA-F5DB-41CB-8D2C-208E10091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47624</xdr:colOff>
      <xdr:row>4</xdr:row>
      <xdr:rowOff>152400</xdr:rowOff>
    </xdr:from>
    <xdr:to>
      <xdr:col>10</xdr:col>
      <xdr:colOff>495299</xdr:colOff>
      <xdr:row>25</xdr:row>
      <xdr:rowOff>114301</xdr:rowOff>
    </xdr:to>
    <xdr:graphicFrame macro="">
      <xdr:nvGraphicFramePr>
        <xdr:cNvPr id="4" name="Chart 3">
          <a:extLst>
            <a:ext uri="{FF2B5EF4-FFF2-40B4-BE49-F238E27FC236}">
              <a16:creationId xmlns:a16="http://schemas.microsoft.com/office/drawing/2014/main" id="{6FE6C344-066E-4678-9BB6-597A9711E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14</xdr:row>
      <xdr:rowOff>161925</xdr:rowOff>
    </xdr:from>
    <xdr:to>
      <xdr:col>5</xdr:col>
      <xdr:colOff>590550</xdr:colOff>
      <xdr:row>24</xdr:row>
      <xdr:rowOff>180974</xdr:rowOff>
    </xdr:to>
    <xdr:graphicFrame macro="">
      <xdr:nvGraphicFramePr>
        <xdr:cNvPr id="5" name="Chart 4">
          <a:extLst>
            <a:ext uri="{FF2B5EF4-FFF2-40B4-BE49-F238E27FC236}">
              <a16:creationId xmlns:a16="http://schemas.microsoft.com/office/drawing/2014/main" id="{F04EE7A8-20F7-4DC8-8872-4DAA61630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276225</xdr:colOff>
      <xdr:row>4</xdr:row>
      <xdr:rowOff>133350</xdr:rowOff>
    </xdr:from>
    <xdr:to>
      <xdr:col>5</xdr:col>
      <xdr:colOff>247651</xdr:colOff>
      <xdr:row>10</xdr:row>
      <xdr:rowOff>0</xdr:rowOff>
    </xdr:to>
    <mc:AlternateContent xmlns:mc="http://schemas.openxmlformats.org/markup-compatibility/2006" xmlns:a14="http://schemas.microsoft.com/office/drawing/2010/main">
      <mc:Choice Requires="a14">
        <xdr:graphicFrame macro="">
          <xdr:nvGraphicFramePr>
            <xdr:cNvPr id="6" name="company_size">
              <a:extLst>
                <a:ext uri="{FF2B5EF4-FFF2-40B4-BE49-F238E27FC236}">
                  <a16:creationId xmlns:a16="http://schemas.microsoft.com/office/drawing/2014/main" id="{6047B4CF-1821-41DB-B630-59ECAFEC87F2}"/>
                </a:ext>
              </a:extLst>
            </xdr:cNvPr>
            <xdr:cNvGraphicFramePr/>
          </xdr:nvGraphicFramePr>
          <xdr:xfrm>
            <a:off x="0" y="0"/>
            <a:ext cx="0" cy="0"/>
          </xdr:xfrm>
          <a:graphic>
            <a:graphicData uri="http://schemas.microsoft.com/office/drawing/2010/slicer">
              <sle:slicer xmlns:sle="http://schemas.microsoft.com/office/drawing/2010/slicer" name="company_size"/>
            </a:graphicData>
          </a:graphic>
        </xdr:graphicFrame>
      </mc:Choice>
      <mc:Fallback xmlns="">
        <xdr:sp macro="" textlink="">
          <xdr:nvSpPr>
            <xdr:cNvPr id="0" name=""/>
            <xdr:cNvSpPr>
              <a:spLocks noTextEdit="1"/>
            </xdr:cNvSpPr>
          </xdr:nvSpPr>
          <xdr:spPr>
            <a:xfrm>
              <a:off x="276225" y="914400"/>
              <a:ext cx="3019426"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10</xdr:row>
      <xdr:rowOff>161925</xdr:rowOff>
    </xdr:from>
    <xdr:to>
      <xdr:col>5</xdr:col>
      <xdr:colOff>142875</xdr:colOff>
      <xdr:row>14</xdr:row>
      <xdr:rowOff>133350</xdr:rowOff>
    </xdr:to>
    <mc:AlternateContent xmlns:mc="http://schemas.openxmlformats.org/markup-compatibility/2006" xmlns:a14="http://schemas.microsoft.com/office/drawing/2010/main">
      <mc:Choice Requires="a14">
        <xdr:graphicFrame macro="">
          <xdr:nvGraphicFramePr>
            <xdr:cNvPr id="7" name="billing_cycle">
              <a:extLst>
                <a:ext uri="{FF2B5EF4-FFF2-40B4-BE49-F238E27FC236}">
                  <a16:creationId xmlns:a16="http://schemas.microsoft.com/office/drawing/2014/main" id="{A4732E66-BBC9-48FE-BDAA-1EDBA106FCF7}"/>
                </a:ext>
              </a:extLst>
            </xdr:cNvPr>
            <xdr:cNvGraphicFramePr/>
          </xdr:nvGraphicFramePr>
          <xdr:xfrm>
            <a:off x="0" y="0"/>
            <a:ext cx="0" cy="0"/>
          </xdr:xfrm>
          <a:graphic>
            <a:graphicData uri="http://schemas.microsoft.com/office/drawing/2010/slicer">
              <sle:slicer xmlns:sle="http://schemas.microsoft.com/office/drawing/2010/slicer" name="billing_cycle"/>
            </a:graphicData>
          </a:graphic>
        </xdr:graphicFrame>
      </mc:Choice>
      <mc:Fallback xmlns="">
        <xdr:sp macro="" textlink="">
          <xdr:nvSpPr>
            <xdr:cNvPr id="0" name=""/>
            <xdr:cNvSpPr>
              <a:spLocks noTextEdit="1"/>
            </xdr:cNvSpPr>
          </xdr:nvSpPr>
          <xdr:spPr>
            <a:xfrm>
              <a:off x="266700" y="2085975"/>
              <a:ext cx="2924175"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333376</xdr:colOff>
      <xdr:row>0</xdr:row>
      <xdr:rowOff>123825</xdr:rowOff>
    </xdr:from>
    <xdr:to>
      <xdr:col>19</xdr:col>
      <xdr:colOff>561976</xdr:colOff>
      <xdr:row>3</xdr:row>
      <xdr:rowOff>9525</xdr:rowOff>
    </xdr:to>
    <xdr:grpSp>
      <xdr:nvGrpSpPr>
        <xdr:cNvPr id="13" name="Group 12">
          <a:extLst>
            <a:ext uri="{FF2B5EF4-FFF2-40B4-BE49-F238E27FC236}">
              <a16:creationId xmlns:a16="http://schemas.microsoft.com/office/drawing/2014/main" id="{B321913F-A3E2-2DF8-62EB-0E29D1A45691}"/>
            </a:ext>
          </a:extLst>
        </xdr:cNvPr>
        <xdr:cNvGrpSpPr/>
      </xdr:nvGrpSpPr>
      <xdr:grpSpPr>
        <a:xfrm>
          <a:off x="11306176" y="123825"/>
          <a:ext cx="838200" cy="476250"/>
          <a:chOff x="11315701" y="142875"/>
          <a:chExt cx="838200" cy="457200"/>
        </a:xfrm>
      </xdr:grpSpPr>
      <xdr:sp macro="" textlink="">
        <xdr:nvSpPr>
          <xdr:cNvPr id="8" name="TextBox 7">
            <a:extLst>
              <a:ext uri="{FF2B5EF4-FFF2-40B4-BE49-F238E27FC236}">
                <a16:creationId xmlns:a16="http://schemas.microsoft.com/office/drawing/2014/main" id="{274B3722-F12F-204C-3653-EA1B21C6139F}"/>
              </a:ext>
            </a:extLst>
          </xdr:cNvPr>
          <xdr:cNvSpPr txBox="1"/>
        </xdr:nvSpPr>
        <xdr:spPr>
          <a:xfrm>
            <a:off x="11315701" y="352425"/>
            <a:ext cx="8382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Churn</a:t>
            </a:r>
            <a:r>
              <a:rPr lang="en-US" sz="1100" baseline="0">
                <a:solidFill>
                  <a:schemeClr val="bg1">
                    <a:lumMod val="75000"/>
                  </a:schemeClr>
                </a:solidFill>
              </a:rPr>
              <a:t> Rate</a:t>
            </a:r>
            <a:endParaRPr lang="en-US" sz="1100">
              <a:solidFill>
                <a:schemeClr val="bg1">
                  <a:lumMod val="75000"/>
                </a:schemeClr>
              </a:solidFill>
            </a:endParaRPr>
          </a:p>
        </xdr:txBody>
      </xdr:sp>
      <xdr:sp macro="" textlink="subscriptions!X9">
        <xdr:nvSpPr>
          <xdr:cNvPr id="12" name="TextBox 11">
            <a:extLst>
              <a:ext uri="{FF2B5EF4-FFF2-40B4-BE49-F238E27FC236}">
                <a16:creationId xmlns:a16="http://schemas.microsoft.com/office/drawing/2014/main" id="{6DBDD996-9E5B-38FB-7BFB-AC901134D95D}"/>
              </a:ext>
            </a:extLst>
          </xdr:cNvPr>
          <xdr:cNvSpPr txBox="1"/>
        </xdr:nvSpPr>
        <xdr:spPr>
          <a:xfrm>
            <a:off x="11325225" y="142875"/>
            <a:ext cx="790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8A856CC-036A-471B-88CE-DB9BE3A3BE62}" type="TxLink">
              <a:rPr lang="en-US" sz="1600" b="1" i="0" u="none" strike="noStrike">
                <a:solidFill>
                  <a:schemeClr val="accent2">
                    <a:lumMod val="75000"/>
                  </a:schemeClr>
                </a:solidFill>
                <a:latin typeface="Aptos Narrow"/>
              </a:rPr>
              <a:pPr algn="ctr"/>
              <a:t>52%</a:t>
            </a:fld>
            <a:endParaRPr lang="en-US" sz="1600" b="1">
              <a:solidFill>
                <a:schemeClr val="accent2">
                  <a:lumMod val="75000"/>
                </a:schemeClr>
              </a:solidFill>
            </a:endParaRPr>
          </a:p>
        </xdr:txBody>
      </xdr:sp>
    </xdr:grpSp>
    <xdr:clientData/>
  </xdr:twoCellAnchor>
  <xdr:twoCellAnchor>
    <xdr:from>
      <xdr:col>16</xdr:col>
      <xdr:colOff>47624</xdr:colOff>
      <xdr:row>0</xdr:row>
      <xdr:rowOff>142875</xdr:rowOff>
    </xdr:from>
    <xdr:to>
      <xdr:col>17</xdr:col>
      <xdr:colOff>561975</xdr:colOff>
      <xdr:row>3</xdr:row>
      <xdr:rowOff>9525</xdr:rowOff>
    </xdr:to>
    <xdr:grpSp>
      <xdr:nvGrpSpPr>
        <xdr:cNvPr id="14" name="Group 13">
          <a:extLst>
            <a:ext uri="{FF2B5EF4-FFF2-40B4-BE49-F238E27FC236}">
              <a16:creationId xmlns:a16="http://schemas.microsoft.com/office/drawing/2014/main" id="{05D0D936-AF65-4D78-9955-7A0EEF0AD234}"/>
            </a:ext>
          </a:extLst>
        </xdr:cNvPr>
        <xdr:cNvGrpSpPr/>
      </xdr:nvGrpSpPr>
      <xdr:grpSpPr>
        <a:xfrm>
          <a:off x="9801224" y="142875"/>
          <a:ext cx="1123951" cy="457200"/>
          <a:chOff x="11106150" y="161925"/>
          <a:chExt cx="1123951" cy="438150"/>
        </a:xfrm>
      </xdr:grpSpPr>
      <xdr:sp macro="" textlink="">
        <xdr:nvSpPr>
          <xdr:cNvPr id="15" name="TextBox 14">
            <a:extLst>
              <a:ext uri="{FF2B5EF4-FFF2-40B4-BE49-F238E27FC236}">
                <a16:creationId xmlns:a16="http://schemas.microsoft.com/office/drawing/2014/main" id="{1C601782-4190-E36B-BD61-B38A4215EFB8}"/>
              </a:ext>
            </a:extLst>
          </xdr:cNvPr>
          <xdr:cNvSpPr txBox="1"/>
        </xdr:nvSpPr>
        <xdr:spPr>
          <a:xfrm>
            <a:off x="11106150" y="352425"/>
            <a:ext cx="112395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Total</a:t>
            </a:r>
            <a:r>
              <a:rPr lang="en-US" sz="1100" baseline="0">
                <a:solidFill>
                  <a:schemeClr val="bg1">
                    <a:lumMod val="75000"/>
                  </a:schemeClr>
                </a:solidFill>
              </a:rPr>
              <a:t> Customers</a:t>
            </a:r>
            <a:endParaRPr lang="en-US" sz="1100">
              <a:solidFill>
                <a:schemeClr val="bg1">
                  <a:lumMod val="75000"/>
                </a:schemeClr>
              </a:solidFill>
            </a:endParaRPr>
          </a:p>
        </xdr:txBody>
      </xdr:sp>
      <xdr:sp macro="" textlink="subscriptions!X3">
        <xdr:nvSpPr>
          <xdr:cNvPr id="16" name="TextBox 15">
            <a:extLst>
              <a:ext uri="{FF2B5EF4-FFF2-40B4-BE49-F238E27FC236}">
                <a16:creationId xmlns:a16="http://schemas.microsoft.com/office/drawing/2014/main" id="{65A68CBE-4F9D-06A1-F18E-72FE3B4F15CA}"/>
              </a:ext>
            </a:extLst>
          </xdr:cNvPr>
          <xdr:cNvSpPr txBox="1"/>
        </xdr:nvSpPr>
        <xdr:spPr>
          <a:xfrm>
            <a:off x="11239500" y="161925"/>
            <a:ext cx="790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A9CCFDE-A2F2-4B54-AD81-B25EB4CA0C53}" type="TxLink">
              <a:rPr lang="en-US" sz="1600" b="1" i="0" u="none" strike="noStrike">
                <a:solidFill>
                  <a:schemeClr val="accent2">
                    <a:lumMod val="75000"/>
                  </a:schemeClr>
                </a:solidFill>
                <a:latin typeface="Aptos Narrow"/>
              </a:rPr>
              <a:pPr algn="ctr"/>
              <a:t>601</a:t>
            </a:fld>
            <a:endParaRPr lang="en-US" sz="2400" b="1" i="0" u="none" strike="noStrike">
              <a:solidFill>
                <a:schemeClr val="accent2">
                  <a:lumMod val="75000"/>
                </a:schemeClr>
              </a:solidFill>
              <a:latin typeface="Aptos Narrow"/>
            </a:endParaRPr>
          </a:p>
        </xdr:txBody>
      </xdr:sp>
    </xdr:grpSp>
    <xdr:clientData/>
  </xdr:twoCellAnchor>
  <xdr:twoCellAnchor>
    <xdr:from>
      <xdr:col>14</xdr:col>
      <xdr:colOff>19049</xdr:colOff>
      <xdr:row>0</xdr:row>
      <xdr:rowOff>123825</xdr:rowOff>
    </xdr:from>
    <xdr:to>
      <xdr:col>15</xdr:col>
      <xdr:colOff>438149</xdr:colOff>
      <xdr:row>3</xdr:row>
      <xdr:rowOff>9525</xdr:rowOff>
    </xdr:to>
    <xdr:grpSp>
      <xdr:nvGrpSpPr>
        <xdr:cNvPr id="17" name="Group 16">
          <a:extLst>
            <a:ext uri="{FF2B5EF4-FFF2-40B4-BE49-F238E27FC236}">
              <a16:creationId xmlns:a16="http://schemas.microsoft.com/office/drawing/2014/main" id="{50D221F0-6917-4799-8171-C4FF5F0A2ADA}"/>
            </a:ext>
          </a:extLst>
        </xdr:cNvPr>
        <xdr:cNvGrpSpPr/>
      </xdr:nvGrpSpPr>
      <xdr:grpSpPr>
        <a:xfrm>
          <a:off x="8553449" y="123825"/>
          <a:ext cx="1028700" cy="476250"/>
          <a:chOff x="11229975" y="142875"/>
          <a:chExt cx="1028700" cy="457200"/>
        </a:xfrm>
      </xdr:grpSpPr>
      <xdr:sp macro="" textlink="">
        <xdr:nvSpPr>
          <xdr:cNvPr id="18" name="TextBox 17">
            <a:extLst>
              <a:ext uri="{FF2B5EF4-FFF2-40B4-BE49-F238E27FC236}">
                <a16:creationId xmlns:a16="http://schemas.microsoft.com/office/drawing/2014/main" id="{8186E76A-C82E-C8AC-3783-14894F154B74}"/>
              </a:ext>
            </a:extLst>
          </xdr:cNvPr>
          <xdr:cNvSpPr txBox="1"/>
        </xdr:nvSpPr>
        <xdr:spPr>
          <a:xfrm>
            <a:off x="11315700" y="352425"/>
            <a:ext cx="9429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Average</a:t>
            </a:r>
            <a:r>
              <a:rPr lang="en-US" sz="1100" baseline="0">
                <a:solidFill>
                  <a:schemeClr val="bg1">
                    <a:lumMod val="75000"/>
                  </a:schemeClr>
                </a:solidFill>
              </a:rPr>
              <a:t> CLV</a:t>
            </a:r>
            <a:endParaRPr lang="en-US" sz="1100">
              <a:solidFill>
                <a:schemeClr val="bg1">
                  <a:lumMod val="75000"/>
                </a:schemeClr>
              </a:solidFill>
            </a:endParaRPr>
          </a:p>
        </xdr:txBody>
      </xdr:sp>
      <xdr:sp macro="" textlink="subscriptions!X6">
        <xdr:nvSpPr>
          <xdr:cNvPr id="19" name="TextBox 18">
            <a:extLst>
              <a:ext uri="{FF2B5EF4-FFF2-40B4-BE49-F238E27FC236}">
                <a16:creationId xmlns:a16="http://schemas.microsoft.com/office/drawing/2014/main" id="{7B466C0A-F740-3F11-6D3D-270DFEEB62B2}"/>
              </a:ext>
            </a:extLst>
          </xdr:cNvPr>
          <xdr:cNvSpPr txBox="1"/>
        </xdr:nvSpPr>
        <xdr:spPr>
          <a:xfrm>
            <a:off x="11229975" y="142875"/>
            <a:ext cx="10191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103FA64-D4F5-47C3-8A85-0C277510603F}" type="TxLink">
              <a:rPr lang="en-US" sz="1600" b="1" i="0" u="none" strike="noStrike">
                <a:solidFill>
                  <a:schemeClr val="accent2">
                    <a:lumMod val="75000"/>
                  </a:schemeClr>
                </a:solidFill>
                <a:latin typeface="Aptos Narrow"/>
              </a:rPr>
              <a:pPr algn="ctr"/>
              <a:t>16003.88078</a:t>
            </a:fld>
            <a:endParaRPr lang="en-US" sz="2400" b="1">
              <a:solidFill>
                <a:schemeClr val="accent2">
                  <a:lumMod val="75000"/>
                </a:schemeClr>
              </a:solidFill>
            </a:endParaRPr>
          </a:p>
        </xdr:txBody>
      </xdr:sp>
    </xdr:grpSp>
    <xdr:clientData/>
  </xdr:twoCellAnchor>
  <xdr:twoCellAnchor>
    <xdr:from>
      <xdr:col>11</xdr:col>
      <xdr:colOff>561975</xdr:colOff>
      <xdr:row>0</xdr:row>
      <xdr:rowOff>57150</xdr:rowOff>
    </xdr:from>
    <xdr:to>
      <xdr:col>13</xdr:col>
      <xdr:colOff>504825</xdr:colOff>
      <xdr:row>3</xdr:row>
      <xdr:rowOff>38100</xdr:rowOff>
    </xdr:to>
    <xdr:sp macro="" textlink="">
      <xdr:nvSpPr>
        <xdr:cNvPr id="28" name="Rectangle: Rounded Corners 27">
          <a:extLst>
            <a:ext uri="{FF2B5EF4-FFF2-40B4-BE49-F238E27FC236}">
              <a16:creationId xmlns:a16="http://schemas.microsoft.com/office/drawing/2014/main" id="{5FCD78C9-CC20-755E-D07B-881F16B9F37E}"/>
            </a:ext>
          </a:extLst>
        </xdr:cNvPr>
        <xdr:cNvSpPr/>
      </xdr:nvSpPr>
      <xdr:spPr>
        <a:xfrm>
          <a:off x="7267575" y="57150"/>
          <a:ext cx="1162050" cy="571500"/>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142874</xdr:colOff>
      <xdr:row>0</xdr:row>
      <xdr:rowOff>123825</xdr:rowOff>
    </xdr:from>
    <xdr:to>
      <xdr:col>13</xdr:col>
      <xdr:colOff>409575</xdr:colOff>
      <xdr:row>3</xdr:row>
      <xdr:rowOff>0</xdr:rowOff>
    </xdr:to>
    <xdr:grpSp>
      <xdr:nvGrpSpPr>
        <xdr:cNvPr id="20" name="Group 19">
          <a:extLst>
            <a:ext uri="{FF2B5EF4-FFF2-40B4-BE49-F238E27FC236}">
              <a16:creationId xmlns:a16="http://schemas.microsoft.com/office/drawing/2014/main" id="{9B89E10F-359A-402E-8A54-EF8419A85436}"/>
            </a:ext>
          </a:extLst>
        </xdr:cNvPr>
        <xdr:cNvGrpSpPr/>
      </xdr:nvGrpSpPr>
      <xdr:grpSpPr>
        <a:xfrm>
          <a:off x="7458074" y="123825"/>
          <a:ext cx="876301" cy="466725"/>
          <a:chOff x="11277600" y="152400"/>
          <a:chExt cx="876301" cy="447675"/>
        </a:xfrm>
      </xdr:grpSpPr>
      <xdr:sp macro="" textlink="">
        <xdr:nvSpPr>
          <xdr:cNvPr id="21" name="TextBox 20">
            <a:extLst>
              <a:ext uri="{FF2B5EF4-FFF2-40B4-BE49-F238E27FC236}">
                <a16:creationId xmlns:a16="http://schemas.microsoft.com/office/drawing/2014/main" id="{7C12B5EA-4023-964D-430D-B585D8CBB0D8}"/>
              </a:ext>
            </a:extLst>
          </xdr:cNvPr>
          <xdr:cNvSpPr txBox="1"/>
        </xdr:nvSpPr>
        <xdr:spPr>
          <a:xfrm>
            <a:off x="11315701" y="352425"/>
            <a:ext cx="8382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CLV:CAC</a:t>
            </a:r>
          </a:p>
        </xdr:txBody>
      </xdr:sp>
      <xdr:sp macro="" textlink="subscriptions!X12">
        <xdr:nvSpPr>
          <xdr:cNvPr id="22" name="TextBox 21">
            <a:extLst>
              <a:ext uri="{FF2B5EF4-FFF2-40B4-BE49-F238E27FC236}">
                <a16:creationId xmlns:a16="http://schemas.microsoft.com/office/drawing/2014/main" id="{0AAB615B-06E0-D8D5-6C07-D5475DA11A44}"/>
              </a:ext>
            </a:extLst>
          </xdr:cNvPr>
          <xdr:cNvSpPr txBox="1"/>
        </xdr:nvSpPr>
        <xdr:spPr>
          <a:xfrm>
            <a:off x="11277600" y="152400"/>
            <a:ext cx="7905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F7D67B4-5A2A-4C1D-9CD9-627A47915F18}" type="TxLink">
              <a:rPr lang="en-US" sz="1600" b="1" i="0" u="none" strike="noStrike">
                <a:solidFill>
                  <a:schemeClr val="accent2">
                    <a:lumMod val="75000"/>
                  </a:schemeClr>
                </a:solidFill>
                <a:latin typeface="Aptos Narrow"/>
              </a:rPr>
              <a:pPr algn="ctr"/>
              <a:t>80:1</a:t>
            </a:fld>
            <a:endParaRPr lang="en-US" sz="2400" b="1">
              <a:solidFill>
                <a:schemeClr val="accent2">
                  <a:lumMod val="75000"/>
                </a:schemeClr>
              </a:solidFill>
            </a:endParaRPr>
          </a:p>
        </xdr:txBody>
      </xdr:sp>
    </xdr:grpSp>
    <xdr:clientData/>
  </xdr:twoCellAnchor>
  <xdr:twoCellAnchor>
    <xdr:from>
      <xdr:col>9</xdr:col>
      <xdr:colOff>438150</xdr:colOff>
      <xdr:row>0</xdr:row>
      <xdr:rowOff>57150</xdr:rowOff>
    </xdr:from>
    <xdr:to>
      <xdr:col>11</xdr:col>
      <xdr:colOff>381000</xdr:colOff>
      <xdr:row>3</xdr:row>
      <xdr:rowOff>38100</xdr:rowOff>
    </xdr:to>
    <xdr:grpSp>
      <xdr:nvGrpSpPr>
        <xdr:cNvPr id="29" name="Group 28">
          <a:extLst>
            <a:ext uri="{FF2B5EF4-FFF2-40B4-BE49-F238E27FC236}">
              <a16:creationId xmlns:a16="http://schemas.microsoft.com/office/drawing/2014/main" id="{FF5C5FD8-75BF-3E0C-20CE-BCBBD5707545}"/>
            </a:ext>
          </a:extLst>
        </xdr:cNvPr>
        <xdr:cNvGrpSpPr/>
      </xdr:nvGrpSpPr>
      <xdr:grpSpPr>
        <a:xfrm>
          <a:off x="5924550" y="57150"/>
          <a:ext cx="1162050" cy="571500"/>
          <a:chOff x="6181725" y="57150"/>
          <a:chExt cx="1162050" cy="571500"/>
        </a:xfrm>
      </xdr:grpSpPr>
      <xdr:sp macro="" textlink="">
        <xdr:nvSpPr>
          <xdr:cNvPr id="27" name="Rectangle: Rounded Corners 26">
            <a:extLst>
              <a:ext uri="{FF2B5EF4-FFF2-40B4-BE49-F238E27FC236}">
                <a16:creationId xmlns:a16="http://schemas.microsoft.com/office/drawing/2014/main" id="{131A277F-E7CA-8030-B8F5-157FF32EB57B}"/>
              </a:ext>
            </a:extLst>
          </xdr:cNvPr>
          <xdr:cNvSpPr/>
        </xdr:nvSpPr>
        <xdr:spPr>
          <a:xfrm>
            <a:off x="6181725" y="57150"/>
            <a:ext cx="1162050" cy="571500"/>
          </a:xfrm>
          <a:prstGeom prst="roundRect">
            <a:avLst/>
          </a:prstGeom>
          <a:solidFill>
            <a:srgbClr val="002060"/>
          </a:solidFill>
          <a:ln>
            <a:solidFill>
              <a:srgbClr val="002060"/>
            </a:solidFill>
          </a:ln>
          <a:effectLst>
            <a:innerShdw blurRad="63500" dist="50800" dir="18900000">
              <a:schemeClr val="accent2">
                <a:lumMod val="75000"/>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6161CF84-078B-8E1F-07B9-75899409FC77}"/>
              </a:ext>
            </a:extLst>
          </xdr:cNvPr>
          <xdr:cNvGrpSpPr/>
        </xdr:nvGrpSpPr>
        <xdr:grpSpPr>
          <a:xfrm>
            <a:off x="6315075" y="123825"/>
            <a:ext cx="990599" cy="476250"/>
            <a:chOff x="11125201" y="142875"/>
            <a:chExt cx="990599" cy="457200"/>
          </a:xfrm>
        </xdr:grpSpPr>
        <xdr:sp macro="" textlink="">
          <xdr:nvSpPr>
            <xdr:cNvPr id="24" name="TextBox 23">
              <a:extLst>
                <a:ext uri="{FF2B5EF4-FFF2-40B4-BE49-F238E27FC236}">
                  <a16:creationId xmlns:a16="http://schemas.microsoft.com/office/drawing/2014/main" id="{A4AEFD2A-8722-E2DC-9A11-C5852F147D0E}"/>
                </a:ext>
              </a:extLst>
            </xdr:cNvPr>
            <xdr:cNvSpPr txBox="1"/>
          </xdr:nvSpPr>
          <xdr:spPr>
            <a:xfrm>
              <a:off x="11220451" y="352425"/>
              <a:ext cx="8382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Latest</a:t>
              </a:r>
              <a:r>
                <a:rPr lang="en-US" sz="1100" baseline="0">
                  <a:solidFill>
                    <a:schemeClr val="bg1">
                      <a:lumMod val="75000"/>
                    </a:schemeClr>
                  </a:solidFill>
                </a:rPr>
                <a:t> MRR</a:t>
              </a:r>
              <a:endParaRPr lang="en-US" sz="1100">
                <a:solidFill>
                  <a:schemeClr val="bg1">
                    <a:lumMod val="75000"/>
                  </a:schemeClr>
                </a:solidFill>
              </a:endParaRPr>
            </a:p>
          </xdr:txBody>
        </xdr:sp>
        <xdr:sp macro="" textlink="monthly_revenue!M8">
          <xdr:nvSpPr>
            <xdr:cNvPr id="25" name="TextBox 24">
              <a:extLst>
                <a:ext uri="{FF2B5EF4-FFF2-40B4-BE49-F238E27FC236}">
                  <a16:creationId xmlns:a16="http://schemas.microsoft.com/office/drawing/2014/main" id="{953E1CEC-9D16-69EC-1C4B-55036B35B962}"/>
                </a:ext>
              </a:extLst>
            </xdr:cNvPr>
            <xdr:cNvSpPr txBox="1"/>
          </xdr:nvSpPr>
          <xdr:spPr>
            <a:xfrm>
              <a:off x="11125201" y="142875"/>
              <a:ext cx="990599"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350EA51-0410-4C7A-A0B7-5D27CDC7E0C0}" type="TxLink">
                <a:rPr lang="en-US" sz="1600" b="1" i="0" u="none" strike="noStrike">
                  <a:solidFill>
                    <a:schemeClr val="accent2">
                      <a:lumMod val="75000"/>
                    </a:schemeClr>
                  </a:solidFill>
                  <a:latin typeface="Aptos Narrow"/>
                </a:rPr>
                <a:pPr algn="ctr"/>
                <a:t>292628.61</a:t>
              </a:fld>
              <a:endParaRPr lang="en-US" sz="3600" b="1">
                <a:solidFill>
                  <a:schemeClr val="accent2">
                    <a:lumMod val="75000"/>
                  </a:schemeClr>
                </a:solidFill>
              </a:endParaRPr>
            </a:p>
          </xdr:txBody>
        </xdr:sp>
      </xdr:grpSp>
    </xdr:grpSp>
    <xdr:clientData/>
  </xdr:twoCellAnchor>
  <xdr:twoCellAnchor>
    <xdr:from>
      <xdr:col>0</xdr:col>
      <xdr:colOff>209549</xdr:colOff>
      <xdr:row>0</xdr:row>
      <xdr:rowOff>152400</xdr:rowOff>
    </xdr:from>
    <xdr:to>
      <xdr:col>8</xdr:col>
      <xdr:colOff>409574</xdr:colOff>
      <xdr:row>3</xdr:row>
      <xdr:rowOff>19050</xdr:rowOff>
    </xdr:to>
    <xdr:sp macro="" textlink="">
      <xdr:nvSpPr>
        <xdr:cNvPr id="26" name="TextBox 25">
          <a:extLst>
            <a:ext uri="{FF2B5EF4-FFF2-40B4-BE49-F238E27FC236}">
              <a16:creationId xmlns:a16="http://schemas.microsoft.com/office/drawing/2014/main" id="{933BB6EB-773F-442B-6E6D-462AB7559C2E}"/>
            </a:ext>
          </a:extLst>
        </xdr:cNvPr>
        <xdr:cNvSpPr txBox="1"/>
      </xdr:nvSpPr>
      <xdr:spPr>
        <a:xfrm>
          <a:off x="209549" y="152400"/>
          <a:ext cx="5076825"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u="none" strike="noStrike">
              <a:solidFill>
                <a:schemeClr val="accent2">
                  <a:lumMod val="60000"/>
                  <a:lumOff val="40000"/>
                </a:schemeClr>
              </a:solidFill>
              <a:effectLst/>
              <a:latin typeface="+mn-lt"/>
              <a:ea typeface="+mn-ea"/>
              <a:cs typeface="+mn-cs"/>
            </a:rPr>
            <a:t>Churn And Revenue Performance Dashboard</a:t>
          </a:r>
          <a:r>
            <a:rPr lang="en-US" sz="2000">
              <a:solidFill>
                <a:schemeClr val="accent2">
                  <a:lumMod val="60000"/>
                  <a:lumOff val="40000"/>
                </a:schemeClr>
              </a:solidFill>
              <a:effectLst/>
            </a:rPr>
            <a:t> </a:t>
          </a:r>
          <a:endParaRPr lang="en-US" sz="2000">
            <a:solidFill>
              <a:schemeClr val="accent2">
                <a:lumMod val="60000"/>
                <a:lumOff val="4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een m" refreshedDate="46143.04323703704" createdVersion="8" refreshedVersion="8" minRefreshableVersion="3" recordCount="600" xr:uid="{39B8DB7B-2F28-41A5-AE4A-2297E49BA100}">
  <cacheSource type="worksheet">
    <worksheetSource name="subscriptions"/>
  </cacheSource>
  <cacheFields count="24">
    <cacheField name="customer_id" numFmtId="0">
      <sharedItems count="600">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3"/>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4"/>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8"/>
        <s v="CUST-0109"/>
        <s v="CUST-0110"/>
        <s v="CUST-0111"/>
        <s v="CUST-0112"/>
        <s v="CUST-0113"/>
        <s v="CUST-0114"/>
        <s v="CUST-0115"/>
        <s v="CUST-0116"/>
        <s v="CUST-0117"/>
        <s v="CUST-0118"/>
        <s v="CUST-0119"/>
        <s v="CUST-0120"/>
        <s v="CUST-0121"/>
        <s v="CUST-0122"/>
        <s v="CUST-0123"/>
        <s v="CUST-0124"/>
        <s v="CUST-0125"/>
        <s v="CUST-0126"/>
        <s v="CUST-0127"/>
        <s v="CUST-0128"/>
        <s v="CUST-0129"/>
        <s v="CUST-0130"/>
        <s v="CUST-0131"/>
        <s v="CUST-0132"/>
        <s v="CUST-0133"/>
        <s v="CUST-0134"/>
        <s v="CUST-0135"/>
        <s v="CUST-0136"/>
        <s v="CUST-0137"/>
        <s v="CUST-0138"/>
        <s v="CUST-0139"/>
        <s v="CUST-0140"/>
        <s v="CUST-0141"/>
        <s v="CUST-0142"/>
        <s v="CUST-0143"/>
        <s v="CUST-0144"/>
        <s v="CUST-0145"/>
        <s v="CUST-0146"/>
        <s v="CUST-0147"/>
        <s v="CUST-0148"/>
        <s v="CUST-0149"/>
        <s v="CUST-0150"/>
        <s v="CUST-0151"/>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5"/>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0"/>
        <s v="CUST-0231"/>
        <s v="CUST-0232"/>
        <s v="CUST-0233"/>
        <s v="CUST-0234"/>
        <s v="CUST-0235"/>
        <s v="CUST-0236"/>
        <s v="CUST-0237"/>
        <s v="CUST-0238"/>
        <s v="CUST-0239"/>
        <s v="CUST-0240"/>
        <s v="CUST-0241"/>
        <s v="CUST-0242"/>
        <s v="CUST-0243"/>
        <s v="CUST-0244"/>
        <s v="CUST-0245"/>
        <s v="CUST-0246"/>
        <s v="CUST-0247"/>
        <s v="CUST-0248"/>
        <s v="CUST-0249"/>
        <s v="CUST-0250"/>
        <s v="CUST-0251"/>
        <s v="CUST-0252"/>
        <s v="CUST-0253"/>
        <s v="CUST-0254"/>
        <s v="CUST-0255"/>
        <s v="CUST-0256"/>
        <s v="CUST-0257"/>
        <s v="CUST-0258"/>
        <s v="CUST-0259"/>
        <s v="CUST-0260"/>
        <s v="CUST-0261"/>
        <s v="CUST-0262"/>
        <s v="CUST-0263"/>
        <s v="CUST-0264"/>
        <s v="CUST-0265"/>
        <s v="CUST-0266"/>
        <s v="CUST-0267"/>
        <s v="CUST-0268"/>
        <s v="CUST-0269"/>
        <s v="CUST-0270"/>
        <s v="CUST-0271"/>
        <s v="CUST-0272"/>
        <s v="CUST-0273"/>
        <s v="CUST-0274"/>
        <s v="CUST-0275"/>
        <s v="CUST-0276"/>
        <s v="CUST-0277"/>
        <s v="CUST-0278"/>
        <s v="CUST-0279"/>
        <s v="CUST-0280"/>
        <s v="CUST-0281"/>
        <s v="CUST-0282"/>
        <s v="CUST-0283"/>
        <s v="CUST-0284"/>
        <s v="CUST-0285"/>
        <s v="CUST-0286"/>
        <s v="CUST-0287"/>
        <s v="CUST-0288"/>
        <s v="CUST-0289"/>
        <s v="CUST-0290"/>
        <s v="CUST-0291"/>
        <s v="CUST-0292"/>
        <s v="CUST-0293"/>
        <s v="CUST-0294"/>
        <s v="CUST-0295"/>
        <s v="CUST-0296"/>
        <s v="CUST-0297"/>
        <s v="CUST-0298"/>
        <s v="CUST-0299"/>
        <s v="CUST-0300"/>
        <s v="CUST-0301"/>
        <s v="CUST-0302"/>
        <s v="CUST-0303"/>
        <s v="CUST-0304"/>
        <s v="CUST-0305"/>
        <s v="CUST-0306"/>
        <s v="CUST-0307"/>
        <s v="CUST-0308"/>
        <s v="CUST-0309"/>
        <s v="CUST-0310"/>
        <s v="CUST-0311"/>
        <s v="CUST-0312"/>
        <s v="CUST-0313"/>
        <s v="CUST-0314"/>
        <s v="CUST-0315"/>
        <s v="CUST-0316"/>
        <s v="CUST-0317"/>
        <s v="CUST-0318"/>
        <s v="CUST-0319"/>
        <s v="CUST-0320"/>
        <s v="CUST-0321"/>
        <s v="CUST-0322"/>
        <s v="CUST-0323"/>
        <s v="CUST-0324"/>
        <s v="CUST-0325"/>
        <s v="CUST-0326"/>
        <s v="CUST-0327"/>
        <s v="CUST-0328"/>
        <s v="CUST-0329"/>
        <s v="CUST-0330"/>
        <s v="CUST-0331"/>
        <s v="CUST-0332"/>
        <s v="CUST-0333"/>
        <s v="CUST-0334"/>
        <s v="CUST-0335"/>
        <s v="CUST-0336"/>
        <s v="CUST-0337"/>
        <s v="CUST-0338"/>
        <s v="CUST-0339"/>
        <s v="CUST-0340"/>
        <s v="CUST-0341"/>
        <s v="CUST-0342"/>
        <s v="CUST-0343"/>
        <s v="CUST-0344"/>
        <s v="CUST-0345"/>
        <s v="CUST-0346"/>
        <s v="CUST-0347"/>
        <s v="CUST-0348"/>
        <s v="CUST-0349"/>
        <s v="CUST-0350"/>
        <s v="CUST-0351"/>
        <s v="CUST-0352"/>
        <s v="CUST-0353"/>
        <s v="CUST-0354"/>
        <s v="CUST-0355"/>
        <s v="CUST-0356"/>
        <s v="CUST-0357"/>
        <s v="CUST-0358"/>
        <s v="CUST-0359"/>
        <s v="CUST-0360"/>
        <s v="CUST-0361"/>
        <s v="CUST-0362"/>
        <s v="CUST-0363"/>
        <s v="CUST-0364"/>
        <s v="CUST-0365"/>
        <s v="CUST-0366"/>
        <s v="CUST-0367"/>
        <s v="CUST-0368"/>
        <s v="CUST-0369"/>
        <s v="CUST-0370"/>
        <s v="CUST-0371"/>
        <s v="CUST-0372"/>
        <s v="CUST-0373"/>
        <s v="CUST-0374"/>
        <s v="CUST-0375"/>
        <s v="CUST-0376"/>
        <s v="CUST-0377"/>
        <s v="CUST-0378"/>
        <s v="CUST-0379"/>
        <s v="CUST-0380"/>
        <s v="CUST-0381"/>
        <s v="CUST-0382"/>
        <s v="CUST-0383"/>
        <s v="CUST-0384"/>
        <s v="CUST-0385"/>
        <s v="CUST-0386"/>
        <s v="CUST-0387"/>
        <s v="CUST-0388"/>
        <s v="CUST-0389"/>
        <s v="CUST-0390"/>
        <s v="CUST-0391"/>
        <s v="CUST-0392"/>
        <s v="CUST-0393"/>
        <s v="CUST-0394"/>
        <s v="CUST-0395"/>
        <s v="CUST-0396"/>
        <s v="CUST-0397"/>
        <s v="CUST-0398"/>
        <s v="CUST-0399"/>
        <s v="CUST-0400"/>
        <s v="CUST-0401"/>
        <s v="CUST-0402"/>
        <s v="CUST-0403"/>
        <s v="CUST-0404"/>
        <s v="CUST-0405"/>
        <s v="CUST-0406"/>
        <s v="CUST-0407"/>
        <s v="CUST-0408"/>
        <s v="CUST-0409"/>
        <s v="CUST-0410"/>
        <s v="CUST-0411"/>
        <s v="CUST-0412"/>
        <s v="CUST-0413"/>
        <s v="CUST-0414"/>
        <s v="CUST-0415"/>
        <s v="CUST-0416"/>
        <s v="CUST-0417"/>
        <s v="CUST-0418"/>
        <s v="CUST-0419"/>
        <s v="CUST-0420"/>
        <s v="CUST-0421"/>
        <s v="CUST-0422"/>
        <s v="CUST-0423"/>
        <s v="CUST-0424"/>
        <s v="CUST-0425"/>
        <s v="CUST-0426"/>
        <s v="CUST-0427"/>
        <s v="CUST-0428"/>
        <s v="CUST-0429"/>
        <s v="CUST-0430"/>
        <s v="CUST-0431"/>
        <s v="CUST-0432"/>
        <s v="CUST-0433"/>
        <s v="CUST-0434"/>
        <s v="CUST-0435"/>
        <s v="CUST-0436"/>
        <s v="CUST-0437"/>
        <s v="CUST-0438"/>
        <s v="CUST-0439"/>
        <s v="CUST-0440"/>
        <s v="CUST-0441"/>
        <s v="CUST-0442"/>
        <s v="CUST-0443"/>
        <s v="CUST-0444"/>
        <s v="CUST-0445"/>
        <s v="CUST-0446"/>
        <s v="CUST-0447"/>
        <s v="CUST-0448"/>
        <s v="CUST-0449"/>
        <s v="CUST-0450"/>
        <s v="CUST-0451"/>
        <s v="CUST-0452"/>
        <s v="CUST-0453"/>
        <s v="CUST-0454"/>
        <s v="CUST-0455"/>
        <s v="CUST-0456"/>
        <s v="CUST-0457"/>
        <s v="CUST-0458"/>
        <s v="CUST-0459"/>
        <s v="CUST-0460"/>
        <s v="CUST-0461"/>
        <s v="CUST-0462"/>
        <s v="CUST-0463"/>
        <s v="CUST-0464"/>
        <s v="CUST-0465"/>
        <s v="CUST-0466"/>
        <s v="CUST-0467"/>
        <s v="CUST-0468"/>
        <s v="CUST-0469"/>
        <s v="CUST-0470"/>
        <s v="CUST-0471"/>
        <s v="CUST-0472"/>
        <s v="CUST-0473"/>
        <s v="CUST-0474"/>
        <s v="CUST-0475"/>
        <s v="CUST-0476"/>
        <s v="CUST-0477"/>
        <s v="CUST-0478"/>
        <s v="CUST-0479"/>
        <s v="CUST-0480"/>
        <s v="CUST-0481"/>
        <s v="CUST-0482"/>
        <s v="CUST-0483"/>
        <s v="CUST-0484"/>
        <s v="CUST-0485"/>
        <s v="CUST-0486"/>
        <s v="CUST-0487"/>
        <s v="CUST-0488"/>
        <s v="CUST-0489"/>
        <s v="CUST-0490"/>
        <s v="CUST-0491"/>
        <s v="CUST-0492"/>
        <s v="CUST-0493"/>
        <s v="CUST-0494"/>
        <s v="CUST-0495"/>
        <s v="CUST-0496"/>
        <s v="CUST-0497"/>
        <s v="CUST-0498"/>
        <s v="CUST-0499"/>
        <s v="CUST-0500"/>
        <s v="CUST-0501"/>
        <s v="CUST-0502"/>
        <s v="CUST-0503"/>
        <s v="CUST-0504"/>
        <s v="CUST-0505"/>
        <s v="CUST-0506"/>
        <s v="CUST-0507"/>
        <s v="CUST-0508"/>
        <s v="CUST-0509"/>
        <s v="CUST-0510"/>
        <s v="CUST-0511"/>
        <s v="CUST-0512"/>
        <s v="CUST-0513"/>
        <s v="CUST-0514"/>
        <s v="CUST-0515"/>
        <s v="CUST-0516"/>
        <s v="CUST-0517"/>
        <s v="CUST-0518"/>
        <s v="CUST-0519"/>
        <s v="CUST-0520"/>
        <s v="CUST-0521"/>
        <s v="CUST-0522"/>
        <s v="CUST-0523"/>
        <s v="CUST-0524"/>
        <s v="CUST-0525"/>
        <s v="CUST-0526"/>
        <s v="CUST-0527"/>
        <s v="CUST-0528"/>
        <s v="CUST-0529"/>
        <s v="CUST-0530"/>
        <s v="CUST-0531"/>
        <s v="CUST-0532"/>
        <s v="CUST-0533"/>
        <s v="CUST-0534"/>
        <s v="CUST-0535"/>
        <s v="CUST-0536"/>
        <s v="CUST-0537"/>
        <s v="CUST-0538"/>
        <s v="CUST-0539"/>
        <s v="CUST-0540"/>
        <s v="CUST-0541"/>
        <s v="CUST-0542"/>
        <s v="CUST-0543"/>
        <s v="CUST-0544"/>
        <s v="CUST-0545"/>
        <s v="CUST-0546"/>
        <s v="CUST-0547"/>
        <s v="CUST-0548"/>
        <s v="CUST-0549"/>
        <s v="CUST-0550"/>
        <s v="CUST-0551"/>
        <s v="CUST-0552"/>
        <s v="CUST-0553"/>
        <s v="CUST-0554"/>
        <s v="CUST-0555"/>
        <s v="CUST-0556"/>
        <s v="CUST-0557"/>
        <s v="CUST-0558"/>
        <s v="CUST-0559"/>
        <s v="CUST-0560"/>
        <s v="CUST-0561"/>
        <s v="CUST-0562"/>
        <s v="CUST-0563"/>
        <s v="CUST-0564"/>
        <s v="CUST-0565"/>
        <s v="CUST-0566"/>
        <s v="CUST-0567"/>
        <s v="CUST-0568"/>
        <s v="CUST-0569"/>
        <s v="CUST-0570"/>
        <s v="CUST-0571"/>
        <s v="CUST-0572"/>
        <s v="CUST-0573"/>
        <s v="CUST-0574"/>
        <s v="CUST-0575"/>
        <s v="CUST-0576"/>
        <s v="CUST-0577"/>
        <s v="CUST-0578"/>
        <s v="CUST-0579"/>
        <s v="CUST-0580"/>
        <s v="CUST-0581"/>
        <s v="CUST-0582"/>
        <s v="CUST-0583"/>
        <s v="CUST-0584"/>
        <s v="CUST-0585"/>
        <s v="CUST-0586"/>
        <s v="CUST-0587"/>
        <s v="CUST-0588"/>
        <s v="CUST-0589"/>
        <s v="CUST-0590"/>
        <s v="CUST-0591"/>
        <s v="CUST-0592"/>
        <s v="CUST-0593"/>
        <s v="CUST-0594"/>
        <s v="CUST-0595"/>
        <s v="CUST-0596"/>
        <s v="CUST-0597"/>
        <s v="CUST-0598"/>
        <s v="CUST-0599"/>
        <s v="CUST-0600"/>
      </sharedItems>
    </cacheField>
    <cacheField name="plan" numFmtId="0">
      <sharedItems count="4">
        <s v="Professional"/>
        <s v="Starter"/>
        <s v="Business"/>
        <s v="Enterprise"/>
      </sharedItems>
    </cacheField>
    <cacheField name="billing_cycle" numFmtId="0">
      <sharedItems count="2">
        <s v="Monthly"/>
        <s v="Annual"/>
      </sharedItems>
    </cacheField>
    <cacheField name="industry" numFmtId="0">
      <sharedItems/>
    </cacheField>
    <cacheField name="company_size" numFmtId="49">
      <sharedItems count="5">
        <s v="51-200"/>
        <s v="500+"/>
        <s v="11-01"/>
        <s v="1-10"/>
        <s v="201-500"/>
      </sharedItems>
    </cacheField>
    <cacheField name="seats" numFmtId="0">
      <sharedItems containsSemiMixedTypes="0" containsString="0" containsNumber="1" containsInteger="1" minValue="1" maxValue="297"/>
    </cacheField>
    <cacheField name="monthly_revenue" numFmtId="0">
      <sharedItems containsSemiMixedTypes="0" containsString="0" containsNumber="1" minValue="24.65" maxValue="10978"/>
    </cacheField>
    <cacheField name="acquisition_channel" numFmtId="0">
      <sharedItems count="6">
        <s v="Organic Search"/>
        <s v="Direct Sales"/>
        <s v="Partner"/>
        <s v="Referral"/>
        <s v="Paid Ads"/>
        <s v="Social Media"/>
      </sharedItems>
    </cacheField>
    <cacheField name="region" numFmtId="0">
      <sharedItems count="4">
        <s v="North America"/>
        <s v="Europe"/>
        <s v="Asia Pacific"/>
        <s v="Latin America"/>
      </sharedItems>
    </cacheField>
    <cacheField name="signup_date" numFmtId="14">
      <sharedItems containsSemiMixedTypes="0" containsNonDate="0" containsDate="1" containsString="0" minDate="2022-01-06T00:00:00" maxDate="2026-01-01T00:00:00"/>
    </cacheField>
    <cacheField name="churned" numFmtId="0">
      <sharedItems/>
    </cacheField>
    <cacheField name="churn_date" numFmtId="0">
      <sharedItems containsNonDate="0" containsDate="1" containsString="0" containsBlank="1" minDate="2022-02-14T00:00:00" maxDate="2025-12-20T00:00:00" count="278">
        <d v="2024-03-05T00:00:00"/>
        <m/>
        <d v="2025-04-13T00:00:00"/>
        <d v="2025-04-08T00:00:00"/>
        <d v="2025-06-08T00:00:00"/>
        <d v="2023-04-21T00:00:00"/>
        <d v="2023-12-01T00:00:00"/>
        <d v="2023-06-14T00:00:00"/>
        <d v="2022-09-27T00:00:00"/>
        <d v="2024-05-16T00:00:00"/>
        <d v="2023-01-24T00:00:00"/>
        <d v="2024-12-31T00:00:00"/>
        <d v="2023-08-05T00:00:00"/>
        <d v="2025-04-23T00:00:00"/>
        <d v="2024-05-18T00:00:00"/>
        <d v="2024-04-23T00:00:00"/>
        <d v="2025-04-24T00:00:00"/>
        <d v="2023-08-15T00:00:00"/>
        <d v="2024-07-29T00:00:00"/>
        <d v="2022-07-24T00:00:00"/>
        <d v="2023-12-24T00:00:00"/>
        <d v="2024-11-08T00:00:00"/>
        <d v="2022-08-11T00:00:00"/>
        <d v="2023-05-19T00:00:00"/>
        <d v="2022-08-02T00:00:00"/>
        <d v="2024-02-28T00:00:00"/>
        <d v="2025-06-13T00:00:00"/>
        <d v="2022-07-12T00:00:00"/>
        <d v="2022-08-27T00:00:00"/>
        <d v="2024-06-30T00:00:00"/>
        <d v="2023-04-14T00:00:00"/>
        <d v="2025-07-15T00:00:00"/>
        <d v="2025-07-04T00:00:00"/>
        <d v="2024-09-16T00:00:00"/>
        <d v="2025-11-15T00:00:00"/>
        <d v="2025-08-05T00:00:00"/>
        <d v="2023-03-17T00:00:00"/>
        <d v="2024-10-10T00:00:00"/>
        <d v="2024-09-07T00:00:00"/>
        <d v="2023-04-06T00:00:00"/>
        <d v="2024-04-13T00:00:00"/>
        <d v="2022-11-20T00:00:00"/>
        <d v="2024-07-21T00:00:00"/>
        <d v="2024-09-17T00:00:00"/>
        <d v="2024-12-03T00:00:00"/>
        <d v="2025-09-09T00:00:00"/>
        <d v="2025-04-06T00:00:00"/>
        <d v="2025-06-04T00:00:00"/>
        <d v="2024-01-17T00:00:00"/>
        <d v="2025-03-14T00:00:00"/>
        <d v="2025-05-29T00:00:00"/>
        <d v="2023-10-01T00:00:00"/>
        <d v="2025-02-22T00:00:00"/>
        <d v="2025-09-30T00:00:00"/>
        <d v="2023-04-09T00:00:00"/>
        <d v="2023-09-26T00:00:00"/>
        <d v="2025-12-14T00:00:00"/>
        <d v="2025-01-28T00:00:00"/>
        <d v="2025-05-31T00:00:00"/>
        <d v="2025-02-24T00:00:00"/>
        <d v="2024-05-09T00:00:00"/>
        <d v="2025-05-01T00:00:00"/>
        <d v="2023-11-12T00:00:00"/>
        <d v="2022-05-07T00:00:00"/>
        <d v="2023-10-31T00:00:00"/>
        <d v="2022-06-19T00:00:00"/>
        <d v="2025-06-14T00:00:00"/>
        <d v="2025-01-15T00:00:00"/>
        <d v="2023-04-24T00:00:00"/>
        <d v="2025-07-10T00:00:00"/>
        <d v="2024-02-16T00:00:00"/>
        <d v="2022-09-08T00:00:00"/>
        <d v="2025-12-19T00:00:00"/>
        <d v="2022-07-22T00:00:00"/>
        <d v="2023-07-22T00:00:00"/>
        <d v="2024-11-17T00:00:00"/>
        <d v="2023-11-21T00:00:00"/>
        <d v="2024-02-24T00:00:00"/>
        <d v="2024-12-06T00:00:00"/>
        <d v="2024-08-22T00:00:00"/>
        <d v="2025-11-30T00:00:00"/>
        <d v="2025-02-26T00:00:00"/>
        <d v="2024-04-03T00:00:00"/>
        <d v="2025-04-19T00:00:00"/>
        <d v="2023-11-26T00:00:00"/>
        <d v="2025-06-11T00:00:00"/>
        <d v="2025-01-25T00:00:00"/>
        <d v="2023-04-29T00:00:00"/>
        <d v="2023-07-31T00:00:00"/>
        <d v="2024-05-08T00:00:00"/>
        <d v="2023-09-11T00:00:00"/>
        <d v="2025-11-09T00:00:00"/>
        <d v="2025-03-25T00:00:00"/>
        <d v="2025-01-06T00:00:00"/>
        <d v="2025-11-28T00:00:00"/>
        <d v="2024-11-30T00:00:00"/>
        <d v="2024-12-24T00:00:00"/>
        <d v="2023-01-25T00:00:00"/>
        <d v="2024-07-19T00:00:00"/>
        <d v="2024-11-02T00:00:00"/>
        <d v="2024-10-13T00:00:00"/>
        <d v="2023-11-04T00:00:00"/>
        <d v="2024-07-20T00:00:00"/>
        <d v="2024-07-02T00:00:00"/>
        <d v="2023-12-15T00:00:00"/>
        <d v="2025-07-03T00:00:00"/>
        <d v="2022-07-30T00:00:00"/>
        <d v="2025-05-26T00:00:00"/>
        <d v="2025-08-11T00:00:00"/>
        <d v="2025-06-29T00:00:00"/>
        <d v="2024-01-25T00:00:00"/>
        <d v="2025-05-11T00:00:00"/>
        <d v="2025-10-19T00:00:00"/>
        <d v="2025-02-13T00:00:00"/>
        <d v="2024-10-27T00:00:00"/>
        <d v="2023-10-22T00:00:00"/>
        <d v="2024-12-04T00:00:00"/>
        <d v="2023-07-12T00:00:00"/>
        <d v="2023-07-02T00:00:00"/>
        <d v="2023-10-29T00:00:00"/>
        <d v="2025-05-07T00:00:00"/>
        <d v="2024-06-23T00:00:00"/>
        <d v="2024-11-18T00:00:00"/>
        <d v="2025-10-15T00:00:00"/>
        <d v="2025-01-12T00:00:00"/>
        <d v="2024-01-13T00:00:00"/>
        <d v="2022-04-20T00:00:00"/>
        <d v="2024-04-18T00:00:00"/>
        <d v="2025-02-05T00:00:00"/>
        <d v="2025-05-14T00:00:00"/>
        <d v="2022-07-08T00:00:00"/>
        <d v="2025-12-11T00:00:00"/>
        <d v="2025-08-03T00:00:00"/>
        <d v="2025-03-05T00:00:00"/>
        <d v="2024-05-27T00:00:00"/>
        <d v="2023-05-07T00:00:00"/>
        <d v="2025-09-25T00:00:00"/>
        <d v="2023-09-25T00:00:00"/>
        <d v="2024-05-29T00:00:00"/>
        <d v="2025-01-31T00:00:00"/>
        <d v="2025-11-14T00:00:00"/>
        <d v="2022-10-29T00:00:00"/>
        <d v="2023-11-10T00:00:00"/>
        <d v="2024-08-27T00:00:00"/>
        <d v="2022-07-15T00:00:00"/>
        <d v="2023-12-12T00:00:00"/>
        <d v="2023-02-19T00:00:00"/>
        <d v="2024-01-09T00:00:00"/>
        <d v="2024-02-11T00:00:00"/>
        <d v="2024-09-01T00:00:00"/>
        <d v="2025-09-20T00:00:00"/>
        <d v="2025-09-06T00:00:00"/>
        <d v="2025-04-11T00:00:00"/>
        <d v="2025-10-26T00:00:00"/>
        <d v="2022-10-13T00:00:00"/>
        <d v="2025-04-30T00:00:00"/>
        <d v="2024-12-11T00:00:00"/>
        <d v="2022-06-25T00:00:00"/>
        <d v="2025-06-10T00:00:00"/>
        <d v="2025-10-06T00:00:00"/>
        <d v="2024-01-22T00:00:00"/>
        <d v="2024-03-13T00:00:00"/>
        <d v="2025-02-15T00:00:00"/>
        <d v="2023-03-19T00:00:00"/>
        <d v="2025-01-20T00:00:00"/>
        <d v="2022-10-01T00:00:00"/>
        <d v="2025-06-24T00:00:00"/>
        <d v="2025-08-15T00:00:00"/>
        <d v="2025-04-18T00:00:00"/>
        <d v="2023-06-15T00:00:00"/>
        <d v="2022-10-03T00:00:00"/>
        <d v="2024-05-11T00:00:00"/>
        <d v="2025-05-16T00:00:00"/>
        <d v="2024-12-29T00:00:00"/>
        <d v="2022-11-05T00:00:00"/>
        <d v="2023-06-03T00:00:00"/>
        <d v="2024-06-07T00:00:00"/>
        <d v="2025-04-28T00:00:00"/>
        <d v="2024-04-17T00:00:00"/>
        <d v="2025-10-14T00:00:00"/>
        <d v="2022-04-08T00:00:00"/>
        <d v="2023-01-05T00:00:00"/>
        <d v="2024-06-16T00:00:00"/>
        <d v="2023-12-09T00:00:00"/>
        <d v="2023-11-07T00:00:00"/>
        <d v="2023-08-24T00:00:00"/>
        <d v="2025-09-22T00:00:00"/>
        <d v="2023-09-30T00:00:00"/>
        <d v="2025-12-13T00:00:00"/>
        <d v="2023-12-10T00:00:00"/>
        <d v="2024-07-27T00:00:00"/>
        <d v="2024-06-10T00:00:00"/>
        <d v="2024-05-06T00:00:00"/>
        <d v="2023-05-22T00:00:00"/>
        <d v="2025-11-23T00:00:00"/>
        <d v="2024-08-24T00:00:00"/>
        <d v="2025-09-29T00:00:00"/>
        <d v="2023-04-03T00:00:00"/>
        <d v="2023-06-19T00:00:00"/>
        <d v="2025-10-02T00:00:00"/>
        <d v="2023-05-25T00:00:00"/>
        <d v="2024-08-12T00:00:00"/>
        <d v="2024-10-15T00:00:00"/>
        <d v="2025-05-18T00:00:00"/>
        <d v="2024-10-30T00:00:00"/>
        <d v="2023-07-03T00:00:00"/>
        <d v="2024-02-27T00:00:00"/>
        <d v="2023-01-27T00:00:00"/>
        <d v="2024-06-25T00:00:00"/>
        <d v="2024-08-21T00:00:00"/>
        <d v="2025-07-31T00:00:00"/>
        <d v="2024-02-25T00:00:00"/>
        <d v="2024-12-05T00:00:00"/>
        <d v="2023-08-27T00:00:00"/>
        <d v="2024-11-04T00:00:00"/>
        <d v="2023-06-09T00:00:00"/>
        <d v="2024-11-03T00:00:00"/>
        <d v="2025-07-18T00:00:00"/>
        <d v="2024-03-09T00:00:00"/>
        <d v="2023-10-21T00:00:00"/>
        <d v="2025-11-27T00:00:00"/>
        <d v="2023-11-02T00:00:00"/>
        <d v="2022-10-08T00:00:00"/>
        <d v="2025-04-09T00:00:00"/>
        <d v="2025-06-03T00:00:00"/>
        <d v="2022-12-25T00:00:00"/>
        <d v="2023-02-07T00:00:00"/>
        <d v="2024-06-28T00:00:00"/>
        <d v="2025-03-21T00:00:00"/>
        <d v="2023-02-16T00:00:00"/>
        <d v="2023-06-18T00:00:00"/>
        <d v="2025-03-29T00:00:00"/>
        <d v="2025-10-03T00:00:00"/>
        <d v="2025-05-02T00:00:00"/>
        <d v="2025-03-31T00:00:00"/>
        <d v="2025-09-19T00:00:00"/>
        <d v="2024-01-28T00:00:00"/>
        <d v="2025-05-08T00:00:00"/>
        <d v="2023-08-04T00:00:00"/>
        <d v="2025-08-25T00:00:00"/>
        <d v="2022-11-09T00:00:00"/>
        <d v="2023-07-04T00:00:00"/>
        <d v="2025-04-07T00:00:00"/>
        <d v="2023-06-08T00:00:00"/>
        <d v="2024-02-01T00:00:00"/>
        <d v="2024-06-19T00:00:00"/>
        <d v="2024-10-14T00:00:00"/>
        <d v="2024-04-30T00:00:00"/>
        <d v="2025-05-10T00:00:00"/>
        <d v="2025-04-26T00:00:00"/>
        <d v="2023-06-24T00:00:00"/>
        <d v="2025-08-02T00:00:00"/>
        <d v="2023-07-27T00:00:00"/>
        <d v="2022-11-06T00:00:00"/>
        <d v="2025-08-08T00:00:00"/>
        <d v="2024-11-10T00:00:00"/>
        <d v="2022-12-14T00:00:00"/>
        <d v="2024-04-25T00:00:00"/>
        <d v="2025-02-18T00:00:00"/>
        <d v="2022-04-05T00:00:00"/>
        <d v="2024-09-02T00:00:00"/>
        <d v="2022-09-10T00:00:00"/>
        <d v="2025-07-28T00:00:00"/>
        <d v="2025-11-02T00:00:00"/>
        <d v="2022-09-23T00:00:00"/>
        <d v="2024-08-18T00:00:00"/>
        <d v="2022-02-14T00:00:00"/>
        <d v="2023-08-16T00:00:00"/>
        <d v="2024-06-14T00:00:00"/>
        <d v="2023-08-30T00:00:00"/>
        <d v="2024-09-30T00:00:00"/>
        <d v="2025-07-16T00:00:00"/>
        <d v="2025-06-19T00:00:00"/>
        <d v="2025-07-19T00:00:00"/>
        <d v="2024-07-08T00:00:00"/>
        <d v="2024-02-13T00:00:00"/>
        <d v="2023-04-10T00:00:00"/>
        <d v="2024-11-14T00:00:00"/>
      </sharedItems>
      <fieldGroup par="23"/>
    </cacheField>
    <cacheField name="churn_reason" numFmtId="0">
      <sharedItems containsBlank="1" count="8">
        <s v="Price Too High"/>
        <m/>
        <s v="Poor Support"/>
        <s v="Switched Competitor"/>
        <s v="Budget Cuts"/>
        <s v="Company Closed"/>
        <s v="No Longer Needed"/>
        <s v="Missing Features"/>
      </sharedItems>
    </cacheField>
    <cacheField name="support_tickets_12mo" numFmtId="0">
      <sharedItems containsSemiMixedTypes="0" containsString="0" containsNumber="1" containsInteger="1" minValue="0" maxValue="15"/>
    </cacheField>
    <cacheField name="nps_score" numFmtId="0">
      <sharedItems containsSemiMixedTypes="0" containsString="0" containsNumber="1" containsInteger="1" minValue="1" maxValue="10"/>
    </cacheField>
    <cacheField name="feature_usage_pct" numFmtId="0">
      <sharedItems containsSemiMixedTypes="0" containsString="0" containsNumber="1" containsInteger="1" minValue="10" maxValue="95"/>
    </cacheField>
    <cacheField name="upgraded" numFmtId="0">
      <sharedItems/>
    </cacheField>
    <cacheField name="churn_flag" numFmtId="0">
      <sharedItems containsSemiMixedTypes="0" containsString="0" containsNumber="1" containsInteger="1" minValue="0" maxValue="1"/>
    </cacheField>
    <cacheField name="customer_lifetime" numFmtId="0">
      <sharedItems containsSemiMixedTypes="0" containsString="0" containsNumber="1" containsInteger="1" minValue="0" maxValue="51"/>
    </cacheField>
    <cacheField name="CLV" numFmtId="0">
      <sharedItems containsSemiMixedTypes="0" containsString="0" containsNumber="1" minValue="0" maxValue="472054"/>
    </cacheField>
    <cacheField name="feature_usage_segmentation" numFmtId="0">
      <sharedItems count="3">
        <s v="High Risk"/>
        <s v="Medium Risk"/>
        <s v="Low Risk"/>
      </sharedItems>
    </cacheField>
    <cacheField name="Months (churn_date)" numFmtId="0" databaseField="0">
      <fieldGroup base="11">
        <rangePr groupBy="months" startDate="2022-02-14T00:00:00" endDate="2025-12-20T00:00:00"/>
        <groupItems count="14">
          <s v="&lt;2/14/2022"/>
          <s v="Jan"/>
          <s v="Feb"/>
          <s v="Mar"/>
          <s v="Apr"/>
          <s v="May"/>
          <s v="Jun"/>
          <s v="Jul"/>
          <s v="Aug"/>
          <s v="Sep"/>
          <s v="Oct"/>
          <s v="Nov"/>
          <s v="Dec"/>
          <s v="&gt;12/20/2025"/>
        </groupItems>
      </fieldGroup>
    </cacheField>
    <cacheField name="Quarters (churn_date)" numFmtId="0" databaseField="0">
      <fieldGroup base="11">
        <rangePr groupBy="quarters" startDate="2022-02-14T00:00:00" endDate="2025-12-20T00:00:00"/>
        <groupItems count="6">
          <s v="&lt;2/14/2022"/>
          <s v="Qtr1"/>
          <s v="Qtr2"/>
          <s v="Qtr3"/>
          <s v="Qtr4"/>
          <s v="&gt;12/20/2025"/>
        </groupItems>
      </fieldGroup>
    </cacheField>
    <cacheField name="Years (churn_date)" numFmtId="0" databaseField="0">
      <fieldGroup base="11">
        <rangePr groupBy="years" startDate="2022-02-14T00:00:00" endDate="2025-12-20T00:00:00"/>
        <groupItems count="6">
          <s v="&lt;2/14/2022"/>
          <s v="2022"/>
          <s v="2023"/>
          <s v="2024"/>
          <s v="2025"/>
          <s v="&gt;12/20/2025"/>
        </groupItems>
      </fieldGroup>
    </cacheField>
  </cacheFields>
  <extLst>
    <ext xmlns:x14="http://schemas.microsoft.com/office/spreadsheetml/2009/9/main" uri="{725AE2AE-9491-48be-B2B4-4EB974FC3084}">
      <x14:pivotCacheDefinition pivotCacheId="21033004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heen m" refreshedDate="46143.065152199073" createdVersion="8" refreshedVersion="8" minRefreshableVersion="3" recordCount="601" xr:uid="{B13EC816-BEF6-41F6-B91C-FB2E09780A16}">
  <cacheSource type="worksheet">
    <worksheetSource ref="B1:V604" sheet="subscriptions"/>
  </cacheSource>
  <cacheFields count="21">
    <cacheField name="plan" numFmtId="0">
      <sharedItems containsBlank="1" count="5">
        <s v="Professional"/>
        <s v="Starter"/>
        <s v="Business"/>
        <s v="Enterprise"/>
        <m/>
      </sharedItems>
    </cacheField>
    <cacheField name="billing_cycle" numFmtId="0">
      <sharedItems containsBlank="1"/>
    </cacheField>
    <cacheField name="industry" numFmtId="0">
      <sharedItems containsBlank="1"/>
    </cacheField>
    <cacheField name="company_size" numFmtId="49">
      <sharedItems containsBlank="1"/>
    </cacheField>
    <cacheField name="seats" numFmtId="0">
      <sharedItems containsString="0" containsBlank="1" containsNumber="1" containsInteger="1" minValue="1" maxValue="297"/>
    </cacheField>
    <cacheField name="monthly_revenue" numFmtId="0">
      <sharedItems containsString="0" containsBlank="1" containsNumber="1" minValue="24.65" maxValue="10978"/>
    </cacheField>
    <cacheField name="acquisition_channel" numFmtId="0">
      <sharedItems containsBlank="1"/>
    </cacheField>
    <cacheField name="region" numFmtId="0">
      <sharedItems containsBlank="1"/>
    </cacheField>
    <cacheField name="signup_date" numFmtId="0">
      <sharedItems containsNonDate="0" containsDate="1" containsString="0" containsBlank="1" minDate="2022-01-06T00:00:00" maxDate="2026-01-01T00:00:00"/>
    </cacheField>
    <cacheField name="churned" numFmtId="0">
      <sharedItems containsBlank="1"/>
    </cacheField>
    <cacheField name="churn_date" numFmtId="0">
      <sharedItems containsNonDate="0" containsDate="1" containsString="0" containsBlank="1" minDate="2022-02-14T00:00:00" maxDate="2025-12-20T00:00:00"/>
    </cacheField>
    <cacheField name="churn_reason" numFmtId="0">
      <sharedItems containsBlank="1"/>
    </cacheField>
    <cacheField name="support_tickets_12mo" numFmtId="0">
      <sharedItems containsString="0" containsBlank="1" containsNumber="1" containsInteger="1" minValue="0" maxValue="15"/>
    </cacheField>
    <cacheField name="nps_score" numFmtId="0">
      <sharedItems containsString="0" containsBlank="1" containsNumber="1" containsInteger="1" minValue="1" maxValue="10"/>
    </cacheField>
    <cacheField name="feature_usage_pct" numFmtId="0">
      <sharedItems containsString="0" containsBlank="1" containsNumber="1" containsInteger="1" minValue="10" maxValue="95"/>
    </cacheField>
    <cacheField name="upgraded" numFmtId="0">
      <sharedItems containsBlank="1"/>
    </cacheField>
    <cacheField name="churn_flag" numFmtId="0">
      <sharedItems containsString="0" containsBlank="1" containsNumber="1" containsInteger="1" minValue="0" maxValue="1"/>
    </cacheField>
    <cacheField name="customer_lifetime" numFmtId="0">
      <sharedItems containsString="0" containsBlank="1" containsNumber="1" containsInteger="1" minValue="0" maxValue="51"/>
    </cacheField>
    <cacheField name="CLV" numFmtId="0">
      <sharedItems containsString="0" containsBlank="1" containsNumber="1" minValue="0" maxValue="472054"/>
    </cacheField>
    <cacheField name="feature_usage_segmentation" numFmtId="0">
      <sharedItems containsBlank="1"/>
    </cacheField>
    <cacheField name="CLV:CAC" numFmtId="0">
      <sharedItems containsString="0" containsBlank="1" containsNumber="1" minValue="0" maxValue="2360.2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farheen m" refreshedDate="46155.866691435185" createdVersion="8" refreshedVersion="8" minRefreshableVersion="3" recordCount="48" xr:uid="{DD40A5EC-5FC7-4F74-BC2F-E30EEB07E1EF}">
  <cacheSource type="worksheet">
    <worksheetSource name="monthly_revenue"/>
  </cacheSource>
  <cacheFields count="14">
    <cacheField name="month" numFmtId="14">
      <sharedItems containsSemiMixedTypes="0" containsNonDate="0" containsDate="1" containsString="0" minDate="2022-01-01T00:00:00" maxDate="2025-12-02T00:00:00" count="48">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fieldGroup par="13"/>
    </cacheField>
    <cacheField name="total_active_customers" numFmtId="0">
      <sharedItems containsSemiMixedTypes="0" containsString="0" containsNumber="1" containsInteger="1" minValue="0" maxValue="281"/>
    </cacheField>
    <cacheField name="new_customers" numFmtId="0">
      <sharedItems containsSemiMixedTypes="0" containsString="0" containsNumber="1" containsInteger="1" minValue="5" maxValue="19"/>
    </cacheField>
    <cacheField name="churned_customers" numFmtId="0">
      <sharedItems containsSemiMixedTypes="0" containsString="0" containsNumber="1" containsInteger="1" minValue="0" maxValue="17"/>
    </cacheField>
    <cacheField name="monthly_churn_rate_pct" numFmtId="0">
      <sharedItems containsSemiMixedTypes="0" containsString="0" containsNumber="1" minValue="0" maxValue="20"/>
    </cacheField>
    <cacheField name="total_mrr" numFmtId="0">
      <sharedItems containsSemiMixedTypes="0" containsString="0" containsNumber="1" minValue="0" maxValue="292628.61"/>
    </cacheField>
    <cacheField name="avg_revenue_per_customer" numFmtId="0">
      <sharedItems containsSemiMixedTypes="0" containsString="0" containsNumber="1" minValue="0" maxValue="1466.61"/>
    </cacheField>
    <cacheField name="customer_acquisition_cost" numFmtId="0">
      <sharedItems containsSemiMixedTypes="0" containsString="0" containsNumber="1" minValue="122.99" maxValue="279.58999999999997"/>
    </cacheField>
    <cacheField name="new_mrr" numFmtId="0">
      <sharedItems containsSemiMixedTypes="0" containsString="0" containsNumber="1" minValue="0" maxValue="19725.8"/>
    </cacheField>
    <cacheField name="churned_mrr" numFmtId="0">
      <sharedItems containsSemiMixedTypes="0" containsString="0" containsNumber="1" minValue="0" maxValue="18120.13"/>
    </cacheField>
    <cacheField name="net_customer_growth" numFmtId="0">
      <sharedItems containsSemiMixedTypes="0" containsString="0" containsNumber="1" containsInteger="1" minValue="-4" maxValue="15"/>
    </cacheField>
    <cacheField name="Months (month)" numFmtId="0" databaseField="0">
      <fieldGroup base="0">
        <rangePr groupBy="months" startDate="2022-01-01T00:00:00" endDate="2025-12-02T00:00:00"/>
        <groupItems count="14">
          <s v="&lt;1/1/2022"/>
          <s v="Jan"/>
          <s v="Feb"/>
          <s v="Mar"/>
          <s v="Apr"/>
          <s v="May"/>
          <s v="Jun"/>
          <s v="Jul"/>
          <s v="Aug"/>
          <s v="Sep"/>
          <s v="Oct"/>
          <s v="Nov"/>
          <s v="Dec"/>
          <s v="&gt;12/2/2025"/>
        </groupItems>
      </fieldGroup>
    </cacheField>
    <cacheField name="Quarters (month)" numFmtId="0" databaseField="0">
      <fieldGroup base="0">
        <rangePr groupBy="quarters" startDate="2022-01-01T00:00:00" endDate="2025-12-02T00:00:00"/>
        <groupItems count="6">
          <s v="&lt;1/1/2022"/>
          <s v="Qtr1"/>
          <s v="Qtr2"/>
          <s v="Qtr3"/>
          <s v="Qtr4"/>
          <s v="&gt;12/2/2025"/>
        </groupItems>
      </fieldGroup>
    </cacheField>
    <cacheField name="Years (month)" numFmtId="0" databaseField="0">
      <fieldGroup base="0">
        <rangePr groupBy="years" startDate="2022-01-01T00:00:00" endDate="2025-12-02T00:00:00"/>
        <groupItems count="6">
          <s v="&lt;1/1/2022"/>
          <s v="2022"/>
          <s v="2023"/>
          <s v="2024"/>
          <s v="2025"/>
          <s v="&gt;12/2/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x v="0"/>
    <x v="0"/>
    <x v="0"/>
    <s v="Retail"/>
    <x v="0"/>
    <n v="64"/>
    <n v="825.55"/>
    <x v="0"/>
    <x v="0"/>
    <d v="2022-06-27T00:00:00"/>
    <s v="Yes"/>
    <x v="0"/>
    <x v="0"/>
    <n v="13"/>
    <n v="3"/>
    <n v="15"/>
    <s v="No"/>
    <n v="1"/>
    <n v="20"/>
    <n v="16511"/>
    <x v="0"/>
  </r>
  <r>
    <x v="1"/>
    <x v="0"/>
    <x v="1"/>
    <s v="Retail"/>
    <x v="0"/>
    <n v="35"/>
    <n v="409.62"/>
    <x v="1"/>
    <x v="0"/>
    <d v="2023-03-19T00:00:00"/>
    <s v="No"/>
    <x v="1"/>
    <x v="1"/>
    <n v="1"/>
    <n v="3"/>
    <n v="52"/>
    <s v="Yes"/>
    <n v="0"/>
    <n v="37"/>
    <n v="15155.94"/>
    <x v="1"/>
  </r>
  <r>
    <x v="2"/>
    <x v="1"/>
    <x v="1"/>
    <s v="Finance"/>
    <x v="1"/>
    <n v="266"/>
    <n v="1004.49"/>
    <x v="2"/>
    <x v="0"/>
    <d v="2024-10-19T00:00:00"/>
    <s v="Yes"/>
    <x v="2"/>
    <x v="0"/>
    <n v="10"/>
    <n v="4"/>
    <n v="31"/>
    <s v="No"/>
    <n v="1"/>
    <n v="5"/>
    <n v="5022.45"/>
    <x v="1"/>
  </r>
  <r>
    <x v="3"/>
    <x v="2"/>
    <x v="1"/>
    <s v="Real Estate"/>
    <x v="2"/>
    <n v="34"/>
    <n v="1006.44"/>
    <x v="2"/>
    <x v="1"/>
    <d v="2023-01-07T00:00:00"/>
    <s v="No"/>
    <x v="1"/>
    <x v="1"/>
    <n v="3"/>
    <n v="7"/>
    <n v="58"/>
    <s v="No"/>
    <n v="0"/>
    <n v="39"/>
    <n v="39251.160000000003"/>
    <x v="1"/>
  </r>
  <r>
    <x v="4"/>
    <x v="1"/>
    <x v="1"/>
    <s v="Manufacturing"/>
    <x v="0"/>
    <n v="48"/>
    <n v="198.43"/>
    <x v="1"/>
    <x v="0"/>
    <d v="2025-09-23T00:00:00"/>
    <s v="No"/>
    <x v="1"/>
    <x v="1"/>
    <n v="3"/>
    <n v="7"/>
    <n v="59"/>
    <s v="No"/>
    <n v="0"/>
    <n v="7"/>
    <n v="1389.01"/>
    <x v="1"/>
  </r>
  <r>
    <x v="5"/>
    <x v="2"/>
    <x v="1"/>
    <s v="Technology"/>
    <x v="3"/>
    <n v="3"/>
    <n v="219.9"/>
    <x v="3"/>
    <x v="0"/>
    <d v="2023-09-28T00:00:00"/>
    <s v="No"/>
    <x v="1"/>
    <x v="1"/>
    <n v="12"/>
    <n v="3"/>
    <n v="48"/>
    <s v="No"/>
    <n v="0"/>
    <n v="31"/>
    <n v="6816.9000000000005"/>
    <x v="1"/>
  </r>
  <r>
    <x v="6"/>
    <x v="1"/>
    <x v="0"/>
    <s v="Finance"/>
    <x v="4"/>
    <n v="121"/>
    <n v="551"/>
    <x v="2"/>
    <x v="1"/>
    <d v="2024-03-07T00:00:00"/>
    <s v="Yes"/>
    <x v="3"/>
    <x v="2"/>
    <n v="0"/>
    <n v="2"/>
    <n v="14"/>
    <s v="No"/>
    <n v="1"/>
    <n v="13"/>
    <n v="7163"/>
    <x v="0"/>
  </r>
  <r>
    <x v="7"/>
    <x v="1"/>
    <x v="0"/>
    <s v="Technology"/>
    <x v="0"/>
    <n v="48"/>
    <n v="233.45"/>
    <x v="3"/>
    <x v="1"/>
    <d v="2025-04-08T00:00:00"/>
    <s v="Yes"/>
    <x v="4"/>
    <x v="0"/>
    <n v="10"/>
    <n v="2"/>
    <n v="28"/>
    <s v="No"/>
    <n v="1"/>
    <n v="2"/>
    <n v="466.9"/>
    <x v="0"/>
  </r>
  <r>
    <x v="8"/>
    <x v="1"/>
    <x v="0"/>
    <s v="Media"/>
    <x v="3"/>
    <n v="3"/>
    <n v="37.700000000000003"/>
    <x v="2"/>
    <x v="0"/>
    <d v="2023-01-22T00:00:00"/>
    <s v="Yes"/>
    <x v="5"/>
    <x v="3"/>
    <n v="5"/>
    <n v="6"/>
    <n v="15"/>
    <s v="No"/>
    <n v="1"/>
    <n v="2"/>
    <n v="75.400000000000006"/>
    <x v="0"/>
  </r>
  <r>
    <x v="9"/>
    <x v="2"/>
    <x v="0"/>
    <s v="Healthcare"/>
    <x v="0"/>
    <n v="80"/>
    <n v="2557.15"/>
    <x v="2"/>
    <x v="0"/>
    <d v="2022-06-27T00:00:00"/>
    <s v="Yes"/>
    <x v="6"/>
    <x v="4"/>
    <n v="3"/>
    <n v="4"/>
    <n v="48"/>
    <s v="No"/>
    <n v="1"/>
    <n v="17"/>
    <n v="43471.55"/>
    <x v="1"/>
  </r>
  <r>
    <x v="10"/>
    <x v="2"/>
    <x v="1"/>
    <s v="Healthcare"/>
    <x v="4"/>
    <n v="77"/>
    <n v="2097.46"/>
    <x v="0"/>
    <x v="2"/>
    <d v="2022-12-07T00:00:00"/>
    <s v="Yes"/>
    <x v="7"/>
    <x v="5"/>
    <n v="9"/>
    <n v="1"/>
    <n v="37"/>
    <s v="No"/>
    <n v="1"/>
    <n v="6"/>
    <n v="12584.76"/>
    <x v="1"/>
  </r>
  <r>
    <x v="11"/>
    <x v="2"/>
    <x v="1"/>
    <s v="Technology"/>
    <x v="2"/>
    <n v="30"/>
    <n v="904.95"/>
    <x v="3"/>
    <x v="0"/>
    <d v="2023-11-17T00:00:00"/>
    <s v="No"/>
    <x v="1"/>
    <x v="1"/>
    <n v="4"/>
    <n v="1"/>
    <n v="47"/>
    <s v="Yes"/>
    <n v="0"/>
    <n v="29"/>
    <n v="26243.550000000003"/>
    <x v="1"/>
  </r>
  <r>
    <x v="12"/>
    <x v="2"/>
    <x v="0"/>
    <s v="Finance"/>
    <x v="3"/>
    <n v="4"/>
    <n v="288.55"/>
    <x v="3"/>
    <x v="1"/>
    <d v="2024-07-02T00:00:00"/>
    <s v="No"/>
    <x v="1"/>
    <x v="1"/>
    <n v="10"/>
    <n v="9"/>
    <n v="84"/>
    <s v="Yes"/>
    <n v="0"/>
    <n v="21"/>
    <n v="6059.55"/>
    <x v="2"/>
  </r>
  <r>
    <x v="13"/>
    <x v="1"/>
    <x v="0"/>
    <s v="Retail"/>
    <x v="0"/>
    <n v="56"/>
    <n v="268.25"/>
    <x v="4"/>
    <x v="1"/>
    <d v="2022-05-29T00:00:00"/>
    <s v="Yes"/>
    <x v="8"/>
    <x v="2"/>
    <n v="1"/>
    <n v="2"/>
    <n v="21"/>
    <s v="No"/>
    <n v="1"/>
    <n v="3"/>
    <n v="804.75"/>
    <x v="0"/>
  </r>
  <r>
    <x v="14"/>
    <x v="1"/>
    <x v="0"/>
    <s v="Education"/>
    <x v="3"/>
    <n v="6"/>
    <n v="50.75"/>
    <x v="3"/>
    <x v="0"/>
    <d v="2024-01-17T00:00:00"/>
    <s v="Yes"/>
    <x v="9"/>
    <x v="6"/>
    <n v="7"/>
    <n v="3"/>
    <n v="25"/>
    <s v="No"/>
    <n v="1"/>
    <n v="3"/>
    <n v="152.25"/>
    <x v="0"/>
  </r>
  <r>
    <x v="15"/>
    <x v="1"/>
    <x v="0"/>
    <s v="Manufacturing"/>
    <x v="4"/>
    <n v="52"/>
    <n v="250.85"/>
    <x v="0"/>
    <x v="0"/>
    <d v="2022-06-01T00:00:00"/>
    <s v="Yes"/>
    <x v="10"/>
    <x v="4"/>
    <n v="11"/>
    <n v="4"/>
    <n v="34"/>
    <s v="No"/>
    <n v="1"/>
    <n v="7"/>
    <n v="1755.95"/>
    <x v="1"/>
  </r>
  <r>
    <x v="16"/>
    <x v="2"/>
    <x v="0"/>
    <s v="Education"/>
    <x v="2"/>
    <n v="34"/>
    <n v="1184.05"/>
    <x v="4"/>
    <x v="0"/>
    <d v="2024-12-23T00:00:00"/>
    <s v="Yes"/>
    <x v="11"/>
    <x v="6"/>
    <n v="3"/>
    <n v="3"/>
    <n v="49"/>
    <s v="No"/>
    <n v="1"/>
    <n v="0"/>
    <n v="0"/>
    <x v="1"/>
  </r>
  <r>
    <x v="17"/>
    <x v="1"/>
    <x v="0"/>
    <s v="Media"/>
    <x v="0"/>
    <n v="64"/>
    <n v="303.05"/>
    <x v="3"/>
    <x v="1"/>
    <d v="2023-06-21T00:00:00"/>
    <s v="Yes"/>
    <x v="12"/>
    <x v="5"/>
    <n v="14"/>
    <n v="3"/>
    <n v="25"/>
    <s v="No"/>
    <n v="1"/>
    <n v="1"/>
    <n v="303.05"/>
    <x v="0"/>
  </r>
  <r>
    <x v="18"/>
    <x v="0"/>
    <x v="1"/>
    <s v="Legal"/>
    <x v="1"/>
    <n v="67"/>
    <n v="731.93"/>
    <x v="2"/>
    <x v="3"/>
    <d v="2024-03-26T00:00:00"/>
    <s v="Yes"/>
    <x v="13"/>
    <x v="5"/>
    <n v="10"/>
    <n v="2"/>
    <n v="10"/>
    <s v="No"/>
    <n v="1"/>
    <n v="12"/>
    <n v="8783.16"/>
    <x v="0"/>
  </r>
  <r>
    <x v="19"/>
    <x v="3"/>
    <x v="1"/>
    <s v="Education"/>
    <x v="3"/>
    <n v="7"/>
    <n v="805.88"/>
    <x v="0"/>
    <x v="2"/>
    <d v="2023-08-11T00:00:00"/>
    <s v="No"/>
    <x v="1"/>
    <x v="1"/>
    <n v="8"/>
    <n v="4"/>
    <n v="93"/>
    <s v="No"/>
    <n v="0"/>
    <n v="32"/>
    <n v="25788.16"/>
    <x v="2"/>
  </r>
  <r>
    <x v="20"/>
    <x v="0"/>
    <x v="1"/>
    <s v="Retail"/>
    <x v="0"/>
    <n v="66"/>
    <n v="721.86"/>
    <x v="2"/>
    <x v="1"/>
    <d v="2023-11-23T00:00:00"/>
    <s v="Yes"/>
    <x v="14"/>
    <x v="0"/>
    <n v="7"/>
    <n v="2"/>
    <n v="19"/>
    <s v="No"/>
    <n v="1"/>
    <n v="5"/>
    <n v="3609.3"/>
    <x v="0"/>
  </r>
  <r>
    <x v="21"/>
    <x v="2"/>
    <x v="1"/>
    <s v="Education"/>
    <x v="3"/>
    <n v="6"/>
    <n v="296.01"/>
    <x v="3"/>
    <x v="1"/>
    <d v="2022-07-02T00:00:00"/>
    <s v="No"/>
    <x v="1"/>
    <x v="1"/>
    <n v="5"/>
    <n v="7"/>
    <n v="40"/>
    <s v="No"/>
    <n v="0"/>
    <n v="45"/>
    <n v="13320.449999999999"/>
    <x v="1"/>
  </r>
  <r>
    <x v="22"/>
    <x v="1"/>
    <x v="0"/>
    <s v="Healthcare"/>
    <x v="2"/>
    <n v="25"/>
    <n v="133.4"/>
    <x v="4"/>
    <x v="1"/>
    <d v="2024-02-17T00:00:00"/>
    <s v="Yes"/>
    <x v="15"/>
    <x v="5"/>
    <n v="11"/>
    <n v="1"/>
    <n v="16"/>
    <s v="No"/>
    <n v="1"/>
    <n v="2"/>
    <n v="266.8"/>
    <x v="0"/>
  </r>
  <r>
    <x v="23"/>
    <x v="3"/>
    <x v="1"/>
    <s v="Manufacturing"/>
    <x v="2"/>
    <n v="14"/>
    <n v="1251.24"/>
    <x v="3"/>
    <x v="1"/>
    <d v="2025-05-22T00:00:00"/>
    <s v="No"/>
    <x v="1"/>
    <x v="1"/>
    <n v="11"/>
    <n v="1"/>
    <n v="85"/>
    <s v="No"/>
    <n v="0"/>
    <n v="11"/>
    <n v="13763.64"/>
    <x v="2"/>
  </r>
  <r>
    <x v="24"/>
    <x v="1"/>
    <x v="1"/>
    <s v="Retail"/>
    <x v="2"/>
    <n v="7"/>
    <n v="46.83"/>
    <x v="3"/>
    <x v="0"/>
    <d v="2024-06-08T00:00:00"/>
    <s v="No"/>
    <x v="1"/>
    <x v="1"/>
    <n v="1"/>
    <n v="1"/>
    <n v="42"/>
    <s v="No"/>
    <n v="0"/>
    <n v="22"/>
    <n v="1030.26"/>
    <x v="1"/>
  </r>
  <r>
    <x v="25"/>
    <x v="3"/>
    <x v="1"/>
    <s v="Media"/>
    <x v="3"/>
    <n v="4"/>
    <n v="615.02"/>
    <x v="3"/>
    <x v="1"/>
    <d v="2025-07-25T00:00:00"/>
    <s v="No"/>
    <x v="1"/>
    <x v="1"/>
    <n v="2"/>
    <n v="9"/>
    <n v="73"/>
    <s v="No"/>
    <n v="0"/>
    <n v="9"/>
    <n v="5535.18"/>
    <x v="2"/>
  </r>
  <r>
    <x v="26"/>
    <x v="1"/>
    <x v="0"/>
    <s v="Consulting"/>
    <x v="3"/>
    <n v="1"/>
    <n v="29"/>
    <x v="2"/>
    <x v="2"/>
    <d v="2023-09-10T00:00:00"/>
    <s v="Yes"/>
    <x v="16"/>
    <x v="2"/>
    <n v="8"/>
    <n v="3"/>
    <n v="10"/>
    <s v="No"/>
    <n v="1"/>
    <n v="19"/>
    <n v="551"/>
    <x v="0"/>
  </r>
  <r>
    <x v="27"/>
    <x v="0"/>
    <x v="1"/>
    <s v="Technology"/>
    <x v="0"/>
    <n v="35"/>
    <n v="409.62"/>
    <x v="0"/>
    <x v="3"/>
    <d v="2025-12-29T00:00:00"/>
    <s v="No"/>
    <x v="1"/>
    <x v="1"/>
    <n v="8"/>
    <n v="4"/>
    <n v="53"/>
    <s v="No"/>
    <n v="0"/>
    <n v="4"/>
    <n v="1638.48"/>
    <x v="1"/>
  </r>
  <r>
    <x v="28"/>
    <x v="1"/>
    <x v="0"/>
    <s v="Real Estate"/>
    <x v="2"/>
    <n v="22"/>
    <n v="120.35"/>
    <x v="0"/>
    <x v="0"/>
    <d v="2022-12-06T00:00:00"/>
    <s v="Yes"/>
    <x v="17"/>
    <x v="7"/>
    <n v="4"/>
    <n v="2"/>
    <n v="17"/>
    <s v="No"/>
    <n v="1"/>
    <n v="8"/>
    <n v="962.8"/>
    <x v="0"/>
  </r>
  <r>
    <x v="29"/>
    <x v="2"/>
    <x v="1"/>
    <s v="Real Estate"/>
    <x v="1"/>
    <n v="230"/>
    <n v="5979.45"/>
    <x v="2"/>
    <x v="1"/>
    <d v="2023-11-04T00:00:00"/>
    <s v="No"/>
    <x v="1"/>
    <x v="1"/>
    <n v="9"/>
    <n v="3"/>
    <n v="76"/>
    <s v="No"/>
    <n v="0"/>
    <n v="29"/>
    <n v="173404.05"/>
    <x v="2"/>
  </r>
  <r>
    <x v="30"/>
    <x v="2"/>
    <x v="1"/>
    <s v="Finance"/>
    <x v="1"/>
    <n v="174"/>
    <n v="4558.59"/>
    <x v="1"/>
    <x v="1"/>
    <d v="2024-07-20T00:00:00"/>
    <s v="No"/>
    <x v="1"/>
    <x v="1"/>
    <n v="8"/>
    <n v="7"/>
    <n v="84"/>
    <s v="No"/>
    <n v="0"/>
    <n v="21"/>
    <n v="95730.39"/>
    <x v="2"/>
  </r>
  <r>
    <x v="31"/>
    <x v="3"/>
    <x v="1"/>
    <s v="Technology"/>
    <x v="3"/>
    <n v="5"/>
    <n v="678.64"/>
    <x v="3"/>
    <x v="0"/>
    <d v="2023-03-28T00:00:00"/>
    <s v="No"/>
    <x v="1"/>
    <x v="1"/>
    <n v="7"/>
    <n v="8"/>
    <n v="16"/>
    <s v="No"/>
    <n v="0"/>
    <n v="37"/>
    <n v="25109.68"/>
    <x v="0"/>
  </r>
  <r>
    <x v="32"/>
    <x v="1"/>
    <x v="1"/>
    <s v="Consulting"/>
    <x v="3"/>
    <n v="6"/>
    <n v="43.14"/>
    <x v="0"/>
    <x v="3"/>
    <d v="2024-05-19T00:00:00"/>
    <s v="Yes"/>
    <x v="18"/>
    <x v="6"/>
    <n v="11"/>
    <n v="3"/>
    <n v="30"/>
    <s v="No"/>
    <n v="1"/>
    <n v="2"/>
    <n v="86.28"/>
    <x v="1"/>
  </r>
  <r>
    <x v="33"/>
    <x v="3"/>
    <x v="1"/>
    <s v="Education"/>
    <x v="2"/>
    <n v="35"/>
    <n v="2587.3200000000002"/>
    <x v="3"/>
    <x v="0"/>
    <d v="2023-09-25T00:00:00"/>
    <s v="No"/>
    <x v="1"/>
    <x v="1"/>
    <n v="5"/>
    <n v="8"/>
    <n v="33"/>
    <s v="Yes"/>
    <n v="0"/>
    <n v="31"/>
    <n v="80206.92"/>
    <x v="1"/>
  </r>
  <r>
    <x v="34"/>
    <x v="1"/>
    <x v="0"/>
    <s v="Manufacturing"/>
    <x v="0"/>
    <n v="70"/>
    <n v="329.15"/>
    <x v="0"/>
    <x v="3"/>
    <d v="2022-05-08T00:00:00"/>
    <s v="Yes"/>
    <x v="19"/>
    <x v="3"/>
    <n v="0"/>
    <n v="6"/>
    <n v="30"/>
    <s v="No"/>
    <n v="1"/>
    <n v="2"/>
    <n v="658.3"/>
    <x v="1"/>
  </r>
  <r>
    <x v="35"/>
    <x v="0"/>
    <x v="0"/>
    <s v="Manufacturing"/>
    <x v="3"/>
    <n v="7"/>
    <n v="150.1"/>
    <x v="3"/>
    <x v="3"/>
    <d v="2023-04-22T00:00:00"/>
    <s v="Yes"/>
    <x v="20"/>
    <x v="5"/>
    <n v="10"/>
    <n v="6"/>
    <n v="16"/>
    <s v="No"/>
    <n v="1"/>
    <n v="8"/>
    <n v="1200.8"/>
    <x v="0"/>
  </r>
  <r>
    <x v="36"/>
    <x v="0"/>
    <x v="0"/>
    <s v="Technology"/>
    <x v="3"/>
    <n v="2"/>
    <n v="90.85"/>
    <x v="1"/>
    <x v="0"/>
    <d v="2024-06-14T00:00:00"/>
    <s v="Yes"/>
    <x v="21"/>
    <x v="6"/>
    <n v="11"/>
    <n v="2"/>
    <n v="34"/>
    <s v="No"/>
    <n v="1"/>
    <n v="4"/>
    <n v="363.4"/>
    <x v="1"/>
  </r>
  <r>
    <x v="37"/>
    <x v="0"/>
    <x v="0"/>
    <s v="Real Estate"/>
    <x v="3"/>
    <n v="5"/>
    <n v="126.4"/>
    <x v="0"/>
    <x v="1"/>
    <d v="2022-06-06T00:00:00"/>
    <s v="Yes"/>
    <x v="22"/>
    <x v="4"/>
    <n v="6"/>
    <n v="1"/>
    <n v="30"/>
    <s v="No"/>
    <n v="1"/>
    <n v="2"/>
    <n v="252.8"/>
    <x v="1"/>
  </r>
  <r>
    <x v="38"/>
    <x v="2"/>
    <x v="1"/>
    <s v="Retail"/>
    <x v="0"/>
    <n v="30"/>
    <n v="904.95"/>
    <x v="0"/>
    <x v="2"/>
    <d v="2024-05-02T00:00:00"/>
    <s v="No"/>
    <x v="1"/>
    <x v="1"/>
    <n v="4"/>
    <n v="9"/>
    <n v="71"/>
    <s v="Yes"/>
    <n v="0"/>
    <n v="23"/>
    <n v="20813.850000000002"/>
    <x v="2"/>
  </r>
  <r>
    <x v="39"/>
    <x v="2"/>
    <x v="1"/>
    <s v="Media"/>
    <x v="2"/>
    <n v="24"/>
    <n v="752.72"/>
    <x v="1"/>
    <x v="2"/>
    <d v="2023-05-17T00:00:00"/>
    <s v="No"/>
    <x v="1"/>
    <x v="1"/>
    <n v="9"/>
    <n v="2"/>
    <n v="76"/>
    <s v="No"/>
    <n v="0"/>
    <n v="35"/>
    <n v="26345.200000000001"/>
    <x v="2"/>
  </r>
  <r>
    <x v="40"/>
    <x v="1"/>
    <x v="0"/>
    <s v="Education"/>
    <x v="0"/>
    <n v="53"/>
    <n v="255.2"/>
    <x v="3"/>
    <x v="2"/>
    <d v="2022-12-21T00:00:00"/>
    <s v="Yes"/>
    <x v="23"/>
    <x v="2"/>
    <n v="4"/>
    <n v="5"/>
    <n v="45"/>
    <s v="No"/>
    <n v="1"/>
    <n v="4"/>
    <n v="1020.8"/>
    <x v="1"/>
  </r>
  <r>
    <x v="41"/>
    <x v="1"/>
    <x v="0"/>
    <s v="Real Estate"/>
    <x v="0"/>
    <n v="34"/>
    <n v="172.55"/>
    <x v="2"/>
    <x v="1"/>
    <d v="2025-01-04T00:00:00"/>
    <s v="No"/>
    <x v="1"/>
    <x v="1"/>
    <n v="9"/>
    <n v="2"/>
    <n v="73"/>
    <s v="No"/>
    <n v="0"/>
    <n v="15"/>
    <n v="2588.25"/>
    <x v="2"/>
  </r>
  <r>
    <x v="42"/>
    <x v="0"/>
    <x v="1"/>
    <s v="Manufacturing"/>
    <x v="3"/>
    <n v="2"/>
    <n v="77.22"/>
    <x v="4"/>
    <x v="1"/>
    <d v="2022-02-20T00:00:00"/>
    <s v="No"/>
    <x v="1"/>
    <x v="1"/>
    <n v="9"/>
    <n v="9"/>
    <n v="20"/>
    <s v="No"/>
    <n v="0"/>
    <n v="50"/>
    <n v="3861"/>
    <x v="0"/>
  </r>
  <r>
    <x v="43"/>
    <x v="0"/>
    <x v="1"/>
    <s v="Legal"/>
    <x v="3"/>
    <n v="2"/>
    <n v="77.22"/>
    <x v="5"/>
    <x v="0"/>
    <d v="2022-04-27T00:00:00"/>
    <s v="Yes"/>
    <x v="24"/>
    <x v="0"/>
    <n v="7"/>
    <n v="6"/>
    <n v="20"/>
    <s v="No"/>
    <n v="1"/>
    <n v="3"/>
    <n v="231.66"/>
    <x v="0"/>
  </r>
  <r>
    <x v="44"/>
    <x v="1"/>
    <x v="0"/>
    <s v="Retail"/>
    <x v="2"/>
    <n v="7"/>
    <n v="55.1"/>
    <x v="5"/>
    <x v="3"/>
    <d v="2025-09-10T00:00:00"/>
    <s v="No"/>
    <x v="1"/>
    <x v="1"/>
    <n v="12"/>
    <n v="4"/>
    <n v="67"/>
    <s v="No"/>
    <n v="0"/>
    <n v="7"/>
    <n v="385.7"/>
    <x v="2"/>
  </r>
  <r>
    <x v="45"/>
    <x v="0"/>
    <x v="0"/>
    <s v="Finance"/>
    <x v="3"/>
    <n v="4"/>
    <n v="114.55"/>
    <x v="4"/>
    <x v="0"/>
    <d v="2023-07-07T00:00:00"/>
    <s v="Yes"/>
    <x v="25"/>
    <x v="7"/>
    <n v="1"/>
    <n v="6"/>
    <n v="42"/>
    <s v="No"/>
    <n v="1"/>
    <n v="7"/>
    <n v="801.85"/>
    <x v="1"/>
  </r>
  <r>
    <x v="46"/>
    <x v="2"/>
    <x v="0"/>
    <s v="Media"/>
    <x v="3"/>
    <n v="5"/>
    <n v="318.39999999999998"/>
    <x v="2"/>
    <x v="0"/>
    <d v="2023-01-17T00:00:00"/>
    <s v="Yes"/>
    <x v="26"/>
    <x v="6"/>
    <n v="15"/>
    <n v="4"/>
    <n v="46"/>
    <s v="No"/>
    <n v="1"/>
    <n v="28"/>
    <n v="8915.1999999999989"/>
    <x v="1"/>
  </r>
  <r>
    <x v="47"/>
    <x v="2"/>
    <x v="1"/>
    <s v="Education"/>
    <x v="3"/>
    <n v="4"/>
    <n v="245.27"/>
    <x v="3"/>
    <x v="1"/>
    <d v="2022-04-18T00:00:00"/>
    <s v="Yes"/>
    <x v="27"/>
    <x v="4"/>
    <n v="4"/>
    <n v="5"/>
    <n v="16"/>
    <s v="No"/>
    <n v="1"/>
    <n v="2"/>
    <n v="490.54"/>
    <x v="0"/>
  </r>
  <r>
    <x v="48"/>
    <x v="0"/>
    <x v="0"/>
    <s v="Real Estate"/>
    <x v="0"/>
    <n v="36"/>
    <n v="493.75"/>
    <x v="2"/>
    <x v="2"/>
    <d v="2022-05-18T00:00:00"/>
    <s v="Yes"/>
    <x v="28"/>
    <x v="2"/>
    <n v="1"/>
    <n v="6"/>
    <n v="26"/>
    <s v="No"/>
    <n v="1"/>
    <n v="3"/>
    <n v="1481.25"/>
    <x v="0"/>
  </r>
  <r>
    <x v="49"/>
    <x v="1"/>
    <x v="1"/>
    <s v="Healthcare"/>
    <x v="3"/>
    <n v="7"/>
    <n v="46.83"/>
    <x v="0"/>
    <x v="0"/>
    <d v="2022-06-22T00:00:00"/>
    <s v="Yes"/>
    <x v="29"/>
    <x v="0"/>
    <n v="2"/>
    <n v="3"/>
    <n v="38"/>
    <s v="No"/>
    <n v="1"/>
    <n v="24"/>
    <n v="1123.92"/>
    <x v="1"/>
  </r>
  <r>
    <x v="50"/>
    <x v="0"/>
    <x v="0"/>
    <s v="Consulting"/>
    <x v="0"/>
    <n v="58"/>
    <n v="754.45"/>
    <x v="2"/>
    <x v="1"/>
    <d v="2022-12-27T00:00:00"/>
    <s v="Yes"/>
    <x v="30"/>
    <x v="0"/>
    <n v="10"/>
    <n v="3"/>
    <n v="29"/>
    <s v="No"/>
    <n v="1"/>
    <n v="3"/>
    <n v="2263.3500000000004"/>
    <x v="0"/>
  </r>
  <r>
    <x v="51"/>
    <x v="1"/>
    <x v="0"/>
    <s v="Healthcare"/>
    <x v="4"/>
    <n v="138"/>
    <n v="624.95000000000005"/>
    <x v="3"/>
    <x v="0"/>
    <d v="2025-03-16T00:00:00"/>
    <s v="Yes"/>
    <x v="31"/>
    <x v="4"/>
    <n v="0"/>
    <n v="1"/>
    <n v="38"/>
    <s v="No"/>
    <n v="1"/>
    <n v="3"/>
    <n v="1874.8500000000001"/>
    <x v="1"/>
  </r>
  <r>
    <x v="52"/>
    <x v="1"/>
    <x v="0"/>
    <s v="Manufacturing"/>
    <x v="3"/>
    <n v="4"/>
    <n v="42.05"/>
    <x v="0"/>
    <x v="0"/>
    <d v="2025-04-03T00:00:00"/>
    <s v="Yes"/>
    <x v="32"/>
    <x v="0"/>
    <n v="1"/>
    <n v="2"/>
    <n v="43"/>
    <s v="No"/>
    <n v="1"/>
    <n v="3"/>
    <n v="126.14999999999999"/>
    <x v="1"/>
  </r>
  <r>
    <x v="53"/>
    <x v="0"/>
    <x v="1"/>
    <s v="Healthcare"/>
    <x v="4"/>
    <n v="82"/>
    <n v="883.02"/>
    <x v="5"/>
    <x v="0"/>
    <d v="2024-06-23T00:00:00"/>
    <s v="No"/>
    <x v="1"/>
    <x v="1"/>
    <n v="4"/>
    <n v="8"/>
    <n v="81"/>
    <s v="No"/>
    <n v="0"/>
    <n v="22"/>
    <n v="19426.439999999999"/>
    <x v="2"/>
  </r>
  <r>
    <x v="54"/>
    <x v="2"/>
    <x v="0"/>
    <s v="Manufacturing"/>
    <x v="3"/>
    <n v="7"/>
    <n v="378.1"/>
    <x v="0"/>
    <x v="0"/>
    <d v="2022-04-13T00:00:00"/>
    <s v="Yes"/>
    <x v="33"/>
    <x v="7"/>
    <n v="6"/>
    <n v="2"/>
    <n v="21"/>
    <s v="No"/>
    <n v="1"/>
    <n v="29"/>
    <n v="10964.900000000001"/>
    <x v="0"/>
  </r>
  <r>
    <x v="55"/>
    <x v="2"/>
    <x v="0"/>
    <s v="Technology"/>
    <x v="2"/>
    <n v="14"/>
    <n v="587.04999999999995"/>
    <x v="4"/>
    <x v="0"/>
    <d v="2024-12-23T00:00:00"/>
    <s v="Yes"/>
    <x v="34"/>
    <x v="7"/>
    <n v="3"/>
    <n v="2"/>
    <n v="37"/>
    <s v="No"/>
    <n v="1"/>
    <n v="10"/>
    <n v="5870.5"/>
    <x v="1"/>
  </r>
  <r>
    <x v="56"/>
    <x v="0"/>
    <x v="1"/>
    <s v="Healthcare"/>
    <x v="2"/>
    <n v="34"/>
    <n v="399.54"/>
    <x v="3"/>
    <x v="0"/>
    <d v="2024-07-12T00:00:00"/>
    <s v="Yes"/>
    <x v="35"/>
    <x v="6"/>
    <n v="1"/>
    <n v="1"/>
    <n v="10"/>
    <s v="No"/>
    <n v="1"/>
    <n v="12"/>
    <n v="4794.4800000000005"/>
    <x v="0"/>
  </r>
  <r>
    <x v="57"/>
    <x v="1"/>
    <x v="0"/>
    <s v="Real Estate"/>
    <x v="4"/>
    <n v="48"/>
    <n v="233.45"/>
    <x v="3"/>
    <x v="1"/>
    <d v="2022-09-10T00:00:00"/>
    <s v="Yes"/>
    <x v="36"/>
    <x v="0"/>
    <n v="2"/>
    <n v="1"/>
    <n v="12"/>
    <s v="No"/>
    <n v="1"/>
    <n v="6"/>
    <n v="1400.6999999999998"/>
    <x v="0"/>
  </r>
  <r>
    <x v="58"/>
    <x v="0"/>
    <x v="1"/>
    <s v="Healthcare"/>
    <x v="2"/>
    <n v="28"/>
    <n v="339.11"/>
    <x v="5"/>
    <x v="0"/>
    <d v="2023-12-30T00:00:00"/>
    <s v="Yes"/>
    <x v="37"/>
    <x v="7"/>
    <n v="5"/>
    <n v="1"/>
    <n v="13"/>
    <s v="No"/>
    <n v="1"/>
    <n v="9"/>
    <n v="3051.9900000000002"/>
    <x v="0"/>
  </r>
  <r>
    <x v="59"/>
    <x v="0"/>
    <x v="0"/>
    <s v="Finance"/>
    <x v="0"/>
    <n v="59"/>
    <n v="766.3"/>
    <x v="2"/>
    <x v="2"/>
    <d v="2024-07-30T00:00:00"/>
    <s v="Yes"/>
    <x v="38"/>
    <x v="3"/>
    <n v="12"/>
    <n v="1"/>
    <n v="45"/>
    <s v="No"/>
    <n v="1"/>
    <n v="1"/>
    <n v="766.3"/>
    <x v="1"/>
  </r>
  <r>
    <x v="60"/>
    <x v="2"/>
    <x v="0"/>
    <s v="Legal"/>
    <x v="0"/>
    <n v="53"/>
    <n v="1751.2"/>
    <x v="3"/>
    <x v="1"/>
    <d v="2022-03-25T00:00:00"/>
    <s v="Yes"/>
    <x v="39"/>
    <x v="3"/>
    <n v="13"/>
    <n v="5"/>
    <n v="11"/>
    <s v="No"/>
    <n v="1"/>
    <n v="12"/>
    <n v="21014.400000000001"/>
    <x v="0"/>
  </r>
  <r>
    <x v="61"/>
    <x v="0"/>
    <x v="0"/>
    <s v="Finance"/>
    <x v="2"/>
    <n v="21"/>
    <n v="316"/>
    <x v="4"/>
    <x v="0"/>
    <d v="2022-10-01T00:00:00"/>
    <s v="Yes"/>
    <x v="40"/>
    <x v="3"/>
    <n v="1"/>
    <n v="3"/>
    <n v="16"/>
    <s v="No"/>
    <n v="1"/>
    <n v="18"/>
    <n v="5688"/>
    <x v="0"/>
  </r>
  <r>
    <x v="62"/>
    <x v="3"/>
    <x v="1"/>
    <s v="Retail"/>
    <x v="2"/>
    <n v="18"/>
    <n v="1505.73"/>
    <x v="0"/>
    <x v="0"/>
    <d v="2025-08-21T00:00:00"/>
    <s v="No"/>
    <x v="1"/>
    <x v="1"/>
    <n v="3"/>
    <n v="7"/>
    <n v="61"/>
    <s v="No"/>
    <n v="0"/>
    <n v="8"/>
    <n v="12045.84"/>
    <x v="2"/>
  </r>
  <r>
    <x v="63"/>
    <x v="0"/>
    <x v="1"/>
    <s v="Retail"/>
    <x v="0"/>
    <n v="51"/>
    <n v="570.77"/>
    <x v="1"/>
    <x v="2"/>
    <d v="2022-10-02T00:00:00"/>
    <s v="No"/>
    <x v="1"/>
    <x v="1"/>
    <n v="1"/>
    <n v="10"/>
    <n v="33"/>
    <s v="No"/>
    <n v="0"/>
    <n v="42"/>
    <n v="23972.34"/>
    <x v="1"/>
  </r>
  <r>
    <x v="64"/>
    <x v="1"/>
    <x v="0"/>
    <s v="Manufacturing"/>
    <x v="4"/>
    <n v="60"/>
    <n v="285.64999999999998"/>
    <x v="1"/>
    <x v="0"/>
    <d v="2022-11-12T00:00:00"/>
    <s v="Yes"/>
    <x v="41"/>
    <x v="2"/>
    <n v="13"/>
    <n v="3"/>
    <n v="46"/>
    <s v="No"/>
    <n v="1"/>
    <n v="0"/>
    <n v="0"/>
    <x v="1"/>
  </r>
  <r>
    <x v="65"/>
    <x v="1"/>
    <x v="1"/>
    <s v="Education"/>
    <x v="0"/>
    <n v="55"/>
    <n v="224.31"/>
    <x v="0"/>
    <x v="0"/>
    <d v="2024-06-28T00:00:00"/>
    <s v="Yes"/>
    <x v="42"/>
    <x v="2"/>
    <n v="12"/>
    <n v="1"/>
    <n v="12"/>
    <s v="No"/>
    <n v="1"/>
    <n v="0"/>
    <n v="0"/>
    <x v="0"/>
  </r>
  <r>
    <x v="66"/>
    <x v="2"/>
    <x v="1"/>
    <s v="Media"/>
    <x v="3"/>
    <n v="7"/>
    <n v="321.38"/>
    <x v="4"/>
    <x v="0"/>
    <d v="2023-09-28T00:00:00"/>
    <s v="No"/>
    <x v="1"/>
    <x v="1"/>
    <n v="4"/>
    <n v="8"/>
    <n v="30"/>
    <s v="No"/>
    <n v="0"/>
    <n v="31"/>
    <n v="9962.7800000000007"/>
    <x v="1"/>
  </r>
  <r>
    <x v="67"/>
    <x v="0"/>
    <x v="1"/>
    <s v="Education"/>
    <x v="3"/>
    <n v="1"/>
    <n v="67.150000000000006"/>
    <x v="3"/>
    <x v="2"/>
    <d v="2025-12-02T00:00:00"/>
    <s v="No"/>
    <x v="1"/>
    <x v="1"/>
    <n v="7"/>
    <n v="3"/>
    <n v="29"/>
    <s v="No"/>
    <n v="0"/>
    <n v="4"/>
    <n v="268.60000000000002"/>
    <x v="0"/>
  </r>
  <r>
    <x v="68"/>
    <x v="1"/>
    <x v="1"/>
    <s v="Media"/>
    <x v="3"/>
    <n v="2"/>
    <n v="28.35"/>
    <x v="0"/>
    <x v="1"/>
    <d v="2023-07-30T00:00:00"/>
    <s v="Yes"/>
    <x v="43"/>
    <x v="7"/>
    <n v="1"/>
    <n v="2"/>
    <n v="25"/>
    <s v="No"/>
    <n v="1"/>
    <n v="13"/>
    <n v="368.55"/>
    <x v="0"/>
  </r>
  <r>
    <x v="69"/>
    <x v="2"/>
    <x v="0"/>
    <s v="Technology"/>
    <x v="0"/>
    <n v="64"/>
    <n v="2079.5500000000002"/>
    <x v="0"/>
    <x v="0"/>
    <d v="2022-08-25T00:00:00"/>
    <s v="Yes"/>
    <x v="28"/>
    <x v="6"/>
    <n v="3"/>
    <n v="1"/>
    <n v="28"/>
    <s v="No"/>
    <n v="1"/>
    <n v="0"/>
    <n v="0"/>
    <x v="0"/>
  </r>
  <r>
    <x v="70"/>
    <x v="3"/>
    <x v="0"/>
    <s v="Retail"/>
    <x v="4"/>
    <n v="58"/>
    <n v="4765.45"/>
    <x v="0"/>
    <x v="1"/>
    <d v="2022-01-22T00:00:00"/>
    <s v="No"/>
    <x v="1"/>
    <x v="1"/>
    <n v="4"/>
    <n v="10"/>
    <n v="42"/>
    <s v="No"/>
    <n v="0"/>
    <n v="51"/>
    <n v="243037.94999999998"/>
    <x v="1"/>
  </r>
  <r>
    <x v="71"/>
    <x v="1"/>
    <x v="0"/>
    <s v="Consulting"/>
    <x v="0"/>
    <n v="31"/>
    <n v="159.5"/>
    <x v="0"/>
    <x v="0"/>
    <d v="2024-06-21T00:00:00"/>
    <s v="No"/>
    <x v="1"/>
    <x v="1"/>
    <n v="7"/>
    <n v="10"/>
    <n v="81"/>
    <s v="No"/>
    <n v="0"/>
    <n v="22"/>
    <n v="3509"/>
    <x v="2"/>
  </r>
  <r>
    <x v="72"/>
    <x v="0"/>
    <x v="0"/>
    <s v="Healthcare"/>
    <x v="4"/>
    <n v="106"/>
    <n v="1323.25"/>
    <x v="3"/>
    <x v="0"/>
    <d v="2025-05-20T00:00:00"/>
    <s v="No"/>
    <x v="1"/>
    <x v="1"/>
    <n v="7"/>
    <n v="2"/>
    <n v="87"/>
    <s v="Yes"/>
    <n v="0"/>
    <n v="11"/>
    <n v="14555.75"/>
    <x v="2"/>
  </r>
  <r>
    <x v="73"/>
    <x v="1"/>
    <x v="0"/>
    <s v="Legal"/>
    <x v="0"/>
    <n v="42"/>
    <n v="207.35"/>
    <x v="4"/>
    <x v="0"/>
    <d v="2023-12-14T00:00:00"/>
    <s v="Yes"/>
    <x v="44"/>
    <x v="5"/>
    <n v="12"/>
    <n v="3"/>
    <n v="10"/>
    <s v="No"/>
    <n v="1"/>
    <n v="11"/>
    <n v="2280.85"/>
    <x v="0"/>
  </r>
  <r>
    <x v="74"/>
    <x v="0"/>
    <x v="0"/>
    <s v="Retail"/>
    <x v="3"/>
    <n v="6"/>
    <n v="138.25"/>
    <x v="4"/>
    <x v="0"/>
    <d v="2022-12-30T00:00:00"/>
    <s v="No"/>
    <x v="1"/>
    <x v="1"/>
    <n v="5"/>
    <n v="1"/>
    <n v="49"/>
    <s v="No"/>
    <n v="0"/>
    <n v="40"/>
    <n v="5530"/>
    <x v="1"/>
  </r>
  <r>
    <x v="75"/>
    <x v="0"/>
    <x v="1"/>
    <s v="Healthcare"/>
    <x v="4"/>
    <n v="56"/>
    <n v="621.14"/>
    <x v="3"/>
    <x v="1"/>
    <d v="2024-03-03T00:00:00"/>
    <s v="No"/>
    <x v="1"/>
    <x v="1"/>
    <n v="2"/>
    <n v="5"/>
    <n v="87"/>
    <s v="No"/>
    <n v="0"/>
    <n v="25"/>
    <n v="15528.5"/>
    <x v="2"/>
  </r>
  <r>
    <x v="76"/>
    <x v="3"/>
    <x v="0"/>
    <s v="Media"/>
    <x v="0"/>
    <n v="52"/>
    <n v="4316.3500000000004"/>
    <x v="2"/>
    <x v="1"/>
    <d v="2023-05-01T00:00:00"/>
    <s v="No"/>
    <x v="1"/>
    <x v="1"/>
    <n v="4"/>
    <n v="7"/>
    <n v="88"/>
    <s v="No"/>
    <n v="0"/>
    <n v="36"/>
    <n v="155388.6"/>
    <x v="2"/>
  </r>
  <r>
    <x v="77"/>
    <x v="1"/>
    <x v="1"/>
    <s v="Media"/>
    <x v="0"/>
    <n v="24"/>
    <n v="109.69"/>
    <x v="2"/>
    <x v="1"/>
    <d v="2023-02-21T00:00:00"/>
    <s v="Yes"/>
    <x v="45"/>
    <x v="4"/>
    <n v="2"/>
    <n v="4"/>
    <n v="16"/>
    <s v="No"/>
    <n v="1"/>
    <n v="30"/>
    <n v="3290.7"/>
    <x v="0"/>
  </r>
  <r>
    <x v="78"/>
    <x v="2"/>
    <x v="0"/>
    <s v="Healthcare"/>
    <x v="0"/>
    <n v="40"/>
    <n v="1363.15"/>
    <x v="5"/>
    <x v="0"/>
    <d v="2024-01-06T00:00:00"/>
    <s v="No"/>
    <x v="1"/>
    <x v="1"/>
    <n v="0"/>
    <n v="4"/>
    <n v="29"/>
    <s v="No"/>
    <n v="0"/>
    <n v="27"/>
    <n v="36805.050000000003"/>
    <x v="0"/>
  </r>
  <r>
    <x v="79"/>
    <x v="1"/>
    <x v="0"/>
    <s v="Healthcare"/>
    <x v="2"/>
    <n v="5"/>
    <n v="46.4"/>
    <x v="0"/>
    <x v="2"/>
    <d v="2025-03-05T00:00:00"/>
    <s v="Yes"/>
    <x v="46"/>
    <x v="6"/>
    <n v="0"/>
    <n v="6"/>
    <n v="20"/>
    <s v="No"/>
    <n v="1"/>
    <n v="1"/>
    <n v="46.4"/>
    <x v="0"/>
  </r>
  <r>
    <x v="80"/>
    <x v="2"/>
    <x v="1"/>
    <s v="Finance"/>
    <x v="2"/>
    <n v="24"/>
    <n v="752.72"/>
    <x v="0"/>
    <x v="2"/>
    <d v="2024-01-17T00:00:00"/>
    <s v="No"/>
    <x v="1"/>
    <x v="1"/>
    <n v="2"/>
    <n v="6"/>
    <n v="86"/>
    <s v="No"/>
    <n v="0"/>
    <n v="27"/>
    <n v="20323.440000000002"/>
    <x v="2"/>
  </r>
  <r>
    <x v="81"/>
    <x v="1"/>
    <x v="1"/>
    <s v="Technology"/>
    <x v="3"/>
    <n v="1"/>
    <n v="24.65"/>
    <x v="5"/>
    <x v="1"/>
    <d v="2024-06-19T00:00:00"/>
    <s v="Yes"/>
    <x v="47"/>
    <x v="4"/>
    <n v="14"/>
    <n v="2"/>
    <n v="22"/>
    <s v="No"/>
    <n v="1"/>
    <n v="11"/>
    <n v="271.14999999999998"/>
    <x v="0"/>
  </r>
  <r>
    <x v="82"/>
    <x v="0"/>
    <x v="0"/>
    <s v="Education"/>
    <x v="3"/>
    <n v="5"/>
    <n v="126.4"/>
    <x v="4"/>
    <x v="2"/>
    <d v="2025-09-12T00:00:00"/>
    <s v="No"/>
    <x v="1"/>
    <x v="1"/>
    <n v="6"/>
    <n v="9"/>
    <n v="56"/>
    <s v="No"/>
    <n v="0"/>
    <n v="7"/>
    <n v="884.80000000000007"/>
    <x v="1"/>
  </r>
  <r>
    <x v="83"/>
    <x v="2"/>
    <x v="0"/>
    <s v="Real Estate"/>
    <x v="4"/>
    <n v="71"/>
    <n v="2288.5"/>
    <x v="3"/>
    <x v="1"/>
    <d v="2023-01-21T00:00:00"/>
    <s v="Yes"/>
    <x v="48"/>
    <x v="7"/>
    <n v="6"/>
    <n v="5"/>
    <n v="29"/>
    <s v="No"/>
    <n v="1"/>
    <n v="11"/>
    <n v="25173.5"/>
    <x v="0"/>
  </r>
  <r>
    <x v="84"/>
    <x v="1"/>
    <x v="0"/>
    <s v="Real Estate"/>
    <x v="2"/>
    <n v="21"/>
    <n v="116"/>
    <x v="2"/>
    <x v="3"/>
    <d v="2025-01-04T00:00:00"/>
    <s v="Yes"/>
    <x v="49"/>
    <x v="5"/>
    <n v="13"/>
    <n v="2"/>
    <n v="42"/>
    <s v="No"/>
    <n v="1"/>
    <n v="2"/>
    <n v="232"/>
    <x v="1"/>
  </r>
  <r>
    <x v="85"/>
    <x v="2"/>
    <x v="0"/>
    <s v="Technology"/>
    <x v="2"/>
    <n v="27"/>
    <n v="975.1"/>
    <x v="2"/>
    <x v="1"/>
    <d v="2024-07-06T00:00:00"/>
    <s v="No"/>
    <x v="1"/>
    <x v="1"/>
    <n v="9"/>
    <n v="7"/>
    <n v="35"/>
    <s v="No"/>
    <n v="0"/>
    <n v="21"/>
    <n v="20477.100000000002"/>
    <x v="1"/>
  </r>
  <r>
    <x v="86"/>
    <x v="0"/>
    <x v="1"/>
    <s v="Education"/>
    <x v="0"/>
    <n v="17"/>
    <n v="228.31"/>
    <x v="1"/>
    <x v="1"/>
    <d v="2024-05-09T00:00:00"/>
    <s v="No"/>
    <x v="1"/>
    <x v="1"/>
    <n v="2"/>
    <n v="4"/>
    <n v="88"/>
    <s v="No"/>
    <n v="0"/>
    <n v="23"/>
    <n v="5251.13"/>
    <x v="2"/>
  </r>
  <r>
    <x v="87"/>
    <x v="1"/>
    <x v="0"/>
    <s v="Consulting"/>
    <x v="0"/>
    <n v="76"/>
    <n v="355.25"/>
    <x v="3"/>
    <x v="2"/>
    <d v="2024-12-15T00:00:00"/>
    <s v="Yes"/>
    <x v="50"/>
    <x v="4"/>
    <n v="7"/>
    <n v="3"/>
    <n v="20"/>
    <s v="No"/>
    <n v="1"/>
    <n v="5"/>
    <n v="1776.25"/>
    <x v="0"/>
  </r>
  <r>
    <x v="88"/>
    <x v="0"/>
    <x v="1"/>
    <s v="Healthcare"/>
    <x v="4"/>
    <n v="75"/>
    <n v="812.51"/>
    <x v="0"/>
    <x v="2"/>
    <d v="2022-11-21T00:00:00"/>
    <s v="Yes"/>
    <x v="51"/>
    <x v="2"/>
    <n v="12"/>
    <n v="6"/>
    <n v="20"/>
    <s v="No"/>
    <n v="1"/>
    <n v="10"/>
    <n v="8125.1"/>
    <x v="0"/>
  </r>
  <r>
    <x v="89"/>
    <x v="2"/>
    <x v="1"/>
    <s v="Healthcare"/>
    <x v="0"/>
    <n v="67"/>
    <n v="1843.73"/>
    <x v="4"/>
    <x v="1"/>
    <d v="2022-03-28T00:00:00"/>
    <s v="Yes"/>
    <x v="41"/>
    <x v="3"/>
    <n v="7"/>
    <n v="1"/>
    <n v="36"/>
    <s v="No"/>
    <n v="1"/>
    <n v="7"/>
    <n v="12906.11"/>
    <x v="1"/>
  </r>
  <r>
    <x v="90"/>
    <x v="3"/>
    <x v="1"/>
    <s v="Media"/>
    <x v="2"/>
    <n v="20"/>
    <n v="1632.98"/>
    <x v="3"/>
    <x v="0"/>
    <d v="2024-10-31T00:00:00"/>
    <s v="Yes"/>
    <x v="52"/>
    <x v="5"/>
    <n v="13"/>
    <n v="2"/>
    <n v="42"/>
    <s v="No"/>
    <n v="1"/>
    <n v="3"/>
    <n v="4898.9400000000005"/>
    <x v="1"/>
  </r>
  <r>
    <x v="91"/>
    <x v="1"/>
    <x v="0"/>
    <s v="Consulting"/>
    <x v="3"/>
    <n v="5"/>
    <n v="46.4"/>
    <x v="2"/>
    <x v="2"/>
    <d v="2025-03-16T00:00:00"/>
    <s v="No"/>
    <x v="1"/>
    <x v="1"/>
    <n v="7"/>
    <n v="7"/>
    <n v="41"/>
    <s v="No"/>
    <n v="0"/>
    <n v="13"/>
    <n v="603.19999999999993"/>
    <x v="1"/>
  </r>
  <r>
    <x v="92"/>
    <x v="1"/>
    <x v="0"/>
    <s v="Manufacturing"/>
    <x v="3"/>
    <n v="7"/>
    <n v="55.1"/>
    <x v="1"/>
    <x v="0"/>
    <d v="2025-10-30T00:00:00"/>
    <s v="No"/>
    <x v="1"/>
    <x v="1"/>
    <n v="2"/>
    <n v="10"/>
    <n v="63"/>
    <s v="No"/>
    <n v="0"/>
    <n v="6"/>
    <n v="330.6"/>
    <x v="2"/>
  </r>
  <r>
    <x v="93"/>
    <x v="2"/>
    <x v="0"/>
    <s v="Education"/>
    <x v="1"/>
    <n v="234"/>
    <n v="7154.05"/>
    <x v="2"/>
    <x v="0"/>
    <d v="2022-07-29T00:00:00"/>
    <s v="Yes"/>
    <x v="53"/>
    <x v="2"/>
    <n v="4"/>
    <n v="6"/>
    <n v="14"/>
    <s v="No"/>
    <n v="1"/>
    <n v="38"/>
    <n v="271853.90000000002"/>
    <x v="0"/>
  </r>
  <r>
    <x v="94"/>
    <x v="0"/>
    <x v="0"/>
    <s v="Finance"/>
    <x v="2"/>
    <n v="14"/>
    <n v="233.05"/>
    <x v="4"/>
    <x v="0"/>
    <d v="2022-10-25T00:00:00"/>
    <s v="Yes"/>
    <x v="54"/>
    <x v="4"/>
    <n v="5"/>
    <n v="6"/>
    <n v="11"/>
    <s v="No"/>
    <n v="1"/>
    <n v="5"/>
    <n v="1165.25"/>
    <x v="0"/>
  </r>
  <r>
    <x v="95"/>
    <x v="1"/>
    <x v="0"/>
    <s v="Legal"/>
    <x v="2"/>
    <n v="15"/>
    <n v="89.9"/>
    <x v="1"/>
    <x v="0"/>
    <d v="2023-08-31T00:00:00"/>
    <s v="Yes"/>
    <x v="55"/>
    <x v="0"/>
    <n v="12"/>
    <n v="1"/>
    <n v="12"/>
    <s v="No"/>
    <n v="1"/>
    <n v="0"/>
    <n v="0"/>
    <x v="0"/>
  </r>
  <r>
    <x v="96"/>
    <x v="3"/>
    <x v="0"/>
    <s v="Education"/>
    <x v="0"/>
    <n v="31"/>
    <n v="2744.5"/>
    <x v="0"/>
    <x v="0"/>
    <d v="2023-10-16T00:00:00"/>
    <s v="No"/>
    <x v="1"/>
    <x v="1"/>
    <n v="1"/>
    <n v="1"/>
    <n v="22"/>
    <s v="No"/>
    <n v="0"/>
    <n v="30"/>
    <n v="82335"/>
    <x v="0"/>
  </r>
  <r>
    <x v="97"/>
    <x v="0"/>
    <x v="1"/>
    <s v="Consulting"/>
    <x v="3"/>
    <n v="8"/>
    <n v="137.66"/>
    <x v="0"/>
    <x v="0"/>
    <d v="2025-11-28T00:00:00"/>
    <s v="Yes"/>
    <x v="56"/>
    <x v="5"/>
    <n v="10"/>
    <n v="6"/>
    <n v="43"/>
    <s v="No"/>
    <n v="1"/>
    <n v="0"/>
    <n v="0"/>
    <x v="1"/>
  </r>
  <r>
    <x v="98"/>
    <x v="3"/>
    <x v="0"/>
    <s v="Manufacturing"/>
    <x v="2"/>
    <n v="6"/>
    <n v="873.25"/>
    <x v="0"/>
    <x v="2"/>
    <d v="2022-08-19T00:00:00"/>
    <s v="No"/>
    <x v="1"/>
    <x v="1"/>
    <n v="3"/>
    <n v="4"/>
    <n v="70"/>
    <s v="No"/>
    <n v="0"/>
    <n v="44"/>
    <n v="38423"/>
    <x v="2"/>
  </r>
  <r>
    <x v="99"/>
    <x v="2"/>
    <x v="0"/>
    <s v="Real Estate"/>
    <x v="2"/>
    <n v="17"/>
    <n v="676.6"/>
    <x v="4"/>
    <x v="1"/>
    <d v="2023-06-11T00:00:00"/>
    <s v="No"/>
    <x v="1"/>
    <x v="1"/>
    <n v="1"/>
    <n v="4"/>
    <n v="17"/>
    <s v="No"/>
    <n v="0"/>
    <n v="34"/>
    <n v="23004.400000000001"/>
    <x v="0"/>
  </r>
  <r>
    <x v="100"/>
    <x v="1"/>
    <x v="0"/>
    <s v="Legal"/>
    <x v="3"/>
    <n v="2"/>
    <n v="33.35"/>
    <x v="0"/>
    <x v="0"/>
    <d v="2024-12-03T00:00:00"/>
    <s v="Yes"/>
    <x v="57"/>
    <x v="5"/>
    <n v="6"/>
    <n v="3"/>
    <n v="15"/>
    <s v="No"/>
    <n v="1"/>
    <n v="1"/>
    <n v="33.35"/>
    <x v="0"/>
  </r>
  <r>
    <x v="101"/>
    <x v="0"/>
    <x v="0"/>
    <s v="Consulting"/>
    <x v="1"/>
    <n v="62"/>
    <n v="801.85"/>
    <x v="3"/>
    <x v="3"/>
    <d v="2023-11-03T00:00:00"/>
    <s v="No"/>
    <x v="1"/>
    <x v="1"/>
    <n v="11"/>
    <n v="7"/>
    <n v="88"/>
    <s v="No"/>
    <n v="0"/>
    <n v="29"/>
    <n v="23253.65"/>
    <x v="2"/>
  </r>
  <r>
    <x v="102"/>
    <x v="0"/>
    <x v="0"/>
    <s v="Consulting"/>
    <x v="3"/>
    <n v="4"/>
    <n v="114.55"/>
    <x v="5"/>
    <x v="1"/>
    <d v="2024-04-24T00:00:00"/>
    <s v="No"/>
    <x v="1"/>
    <x v="1"/>
    <n v="0"/>
    <n v="6"/>
    <n v="32"/>
    <s v="No"/>
    <n v="0"/>
    <n v="24"/>
    <n v="2749.2"/>
    <x v="1"/>
  </r>
  <r>
    <x v="103"/>
    <x v="2"/>
    <x v="0"/>
    <s v="Education"/>
    <x v="2"/>
    <n v="17"/>
    <n v="676.6"/>
    <x v="0"/>
    <x v="1"/>
    <d v="2024-11-30T00:00:00"/>
    <s v="Yes"/>
    <x v="58"/>
    <x v="4"/>
    <n v="12"/>
    <n v="1"/>
    <n v="30"/>
    <s v="No"/>
    <n v="1"/>
    <n v="6"/>
    <n v="4059.6000000000004"/>
    <x v="1"/>
  </r>
  <r>
    <x v="104"/>
    <x v="0"/>
    <x v="0"/>
    <s v="Manufacturing"/>
    <x v="4"/>
    <n v="42"/>
    <n v="564.85"/>
    <x v="4"/>
    <x v="3"/>
    <d v="2023-12-21T00:00:00"/>
    <s v="No"/>
    <x v="1"/>
    <x v="1"/>
    <n v="6"/>
    <n v="5"/>
    <n v="53"/>
    <s v="Yes"/>
    <n v="0"/>
    <n v="28"/>
    <n v="15815.800000000001"/>
    <x v="1"/>
  </r>
  <r>
    <x v="105"/>
    <x v="1"/>
    <x v="0"/>
    <s v="Retail"/>
    <x v="3"/>
    <n v="1"/>
    <n v="29"/>
    <x v="3"/>
    <x v="2"/>
    <d v="2024-11-18T00:00:00"/>
    <s v="Yes"/>
    <x v="59"/>
    <x v="2"/>
    <n v="4"/>
    <n v="3"/>
    <n v="20"/>
    <s v="No"/>
    <n v="1"/>
    <n v="3"/>
    <n v="87"/>
    <x v="0"/>
  </r>
  <r>
    <x v="106"/>
    <x v="2"/>
    <x v="0"/>
    <s v="Legal"/>
    <x v="1"/>
    <n v="139"/>
    <n v="4318.3"/>
    <x v="3"/>
    <x v="1"/>
    <d v="2022-08-18T00:00:00"/>
    <s v="Yes"/>
    <x v="60"/>
    <x v="6"/>
    <n v="11"/>
    <n v="2"/>
    <n v="24"/>
    <s v="No"/>
    <n v="1"/>
    <n v="20"/>
    <n v="86366"/>
    <x v="0"/>
  </r>
  <r>
    <x v="107"/>
    <x v="2"/>
    <x v="1"/>
    <s v="Consulting"/>
    <x v="0"/>
    <n v="30"/>
    <n v="904.95"/>
    <x v="0"/>
    <x v="0"/>
    <d v="2025-08-16T00:00:00"/>
    <s v="No"/>
    <x v="1"/>
    <x v="1"/>
    <n v="11"/>
    <n v="5"/>
    <n v="48"/>
    <s v="No"/>
    <n v="0"/>
    <n v="8"/>
    <n v="7239.6"/>
    <x v="1"/>
  </r>
  <r>
    <x v="108"/>
    <x v="2"/>
    <x v="1"/>
    <s v="Finance"/>
    <x v="0"/>
    <n v="16"/>
    <n v="549.74"/>
    <x v="0"/>
    <x v="2"/>
    <d v="2022-11-03T00:00:00"/>
    <s v="No"/>
    <x v="1"/>
    <x v="1"/>
    <n v="0"/>
    <n v="9"/>
    <n v="57"/>
    <s v="No"/>
    <n v="0"/>
    <n v="41"/>
    <n v="22539.34"/>
    <x v="1"/>
  </r>
  <r>
    <x v="109"/>
    <x v="0"/>
    <x v="1"/>
    <s v="Retail"/>
    <x v="4"/>
    <n v="58"/>
    <n v="641.28"/>
    <x v="3"/>
    <x v="1"/>
    <d v="2023-10-02T00:00:00"/>
    <s v="Yes"/>
    <x v="61"/>
    <x v="7"/>
    <n v="12"/>
    <n v="3"/>
    <n v="38"/>
    <s v="No"/>
    <n v="1"/>
    <n v="18"/>
    <n v="11543.039999999999"/>
    <x v="1"/>
  </r>
  <r>
    <x v="110"/>
    <x v="1"/>
    <x v="1"/>
    <s v="Consulting"/>
    <x v="2"/>
    <n v="5"/>
    <n v="39.44"/>
    <x v="2"/>
    <x v="1"/>
    <d v="2022-12-22T00:00:00"/>
    <s v="Yes"/>
    <x v="62"/>
    <x v="3"/>
    <n v="15"/>
    <n v="5"/>
    <n v="29"/>
    <s v="No"/>
    <n v="1"/>
    <n v="10"/>
    <n v="394.4"/>
    <x v="0"/>
  </r>
  <r>
    <x v="111"/>
    <x v="0"/>
    <x v="0"/>
    <s v="Finance"/>
    <x v="4"/>
    <n v="42"/>
    <n v="564.85"/>
    <x v="1"/>
    <x v="0"/>
    <d v="2022-01-27T00:00:00"/>
    <s v="Yes"/>
    <x v="63"/>
    <x v="4"/>
    <n v="7"/>
    <n v="2"/>
    <n v="40"/>
    <s v="No"/>
    <n v="1"/>
    <n v="3"/>
    <n v="1694.5500000000002"/>
    <x v="1"/>
  </r>
  <r>
    <x v="112"/>
    <x v="2"/>
    <x v="0"/>
    <s v="Consulting"/>
    <x v="2"/>
    <n v="20"/>
    <n v="766.15"/>
    <x v="3"/>
    <x v="0"/>
    <d v="2023-06-10T00:00:00"/>
    <s v="Yes"/>
    <x v="64"/>
    <x v="5"/>
    <n v="3"/>
    <n v="4"/>
    <n v="22"/>
    <s v="No"/>
    <n v="1"/>
    <n v="4"/>
    <n v="3064.6"/>
    <x v="0"/>
  </r>
  <r>
    <x v="113"/>
    <x v="1"/>
    <x v="0"/>
    <s v="Technology"/>
    <x v="1"/>
    <n v="235"/>
    <n v="1046.9000000000001"/>
    <x v="3"/>
    <x v="2"/>
    <d v="2022-06-06T00:00:00"/>
    <s v="Yes"/>
    <x v="65"/>
    <x v="5"/>
    <n v="11"/>
    <n v="1"/>
    <n v="23"/>
    <s v="No"/>
    <n v="1"/>
    <n v="0"/>
    <n v="0"/>
    <x v="0"/>
  </r>
  <r>
    <x v="114"/>
    <x v="1"/>
    <x v="1"/>
    <s v="Legal"/>
    <x v="4"/>
    <n v="31"/>
    <n v="135.57"/>
    <x v="0"/>
    <x v="3"/>
    <d v="2024-08-28T00:00:00"/>
    <s v="No"/>
    <x v="1"/>
    <x v="1"/>
    <n v="0"/>
    <n v="5"/>
    <n v="75"/>
    <s v="No"/>
    <n v="0"/>
    <n v="20"/>
    <n v="2711.3999999999996"/>
    <x v="2"/>
  </r>
  <r>
    <x v="115"/>
    <x v="0"/>
    <x v="0"/>
    <s v="Technology"/>
    <x v="0"/>
    <n v="16"/>
    <n v="256.75"/>
    <x v="0"/>
    <x v="0"/>
    <d v="2025-09-03T00:00:00"/>
    <s v="No"/>
    <x v="1"/>
    <x v="1"/>
    <n v="0"/>
    <n v="2"/>
    <n v="25"/>
    <s v="No"/>
    <n v="0"/>
    <n v="7"/>
    <n v="1797.25"/>
    <x v="0"/>
  </r>
  <r>
    <x v="116"/>
    <x v="0"/>
    <x v="1"/>
    <s v="Media"/>
    <x v="0"/>
    <n v="25"/>
    <n v="308.89"/>
    <x v="4"/>
    <x v="2"/>
    <d v="2024-03-13T00:00:00"/>
    <s v="Yes"/>
    <x v="66"/>
    <x v="4"/>
    <n v="0"/>
    <n v="2"/>
    <n v="28"/>
    <s v="No"/>
    <n v="1"/>
    <n v="15"/>
    <n v="4633.3499999999995"/>
    <x v="0"/>
  </r>
  <r>
    <x v="117"/>
    <x v="0"/>
    <x v="0"/>
    <s v="Manufacturing"/>
    <x v="2"/>
    <n v="17"/>
    <n v="268.60000000000002"/>
    <x v="2"/>
    <x v="1"/>
    <d v="2024-12-31T00:00:00"/>
    <s v="Yes"/>
    <x v="49"/>
    <x v="6"/>
    <n v="0"/>
    <n v="5"/>
    <n v="25"/>
    <s v="No"/>
    <n v="1"/>
    <n v="2"/>
    <n v="537.20000000000005"/>
    <x v="0"/>
  </r>
  <r>
    <x v="118"/>
    <x v="0"/>
    <x v="0"/>
    <s v="Education"/>
    <x v="2"/>
    <n v="28"/>
    <n v="398.95"/>
    <x v="0"/>
    <x v="0"/>
    <d v="2022-11-01T00:00:00"/>
    <s v="No"/>
    <x v="1"/>
    <x v="1"/>
    <n v="9"/>
    <n v="8"/>
    <n v="44"/>
    <s v="No"/>
    <n v="0"/>
    <n v="42"/>
    <n v="16755.899999999998"/>
    <x v="1"/>
  </r>
  <r>
    <x v="119"/>
    <x v="0"/>
    <x v="1"/>
    <s v="Finance"/>
    <x v="3"/>
    <n v="2"/>
    <n v="77.22"/>
    <x v="2"/>
    <x v="0"/>
    <d v="2022-03-26T00:00:00"/>
    <s v="No"/>
    <x v="1"/>
    <x v="1"/>
    <n v="3"/>
    <n v="4"/>
    <n v="22"/>
    <s v="No"/>
    <n v="0"/>
    <n v="49"/>
    <n v="3783.7799999999997"/>
    <x v="0"/>
  </r>
  <r>
    <x v="120"/>
    <x v="1"/>
    <x v="1"/>
    <s v="Media"/>
    <x v="2"/>
    <n v="32"/>
    <n v="139.27000000000001"/>
    <x v="0"/>
    <x v="0"/>
    <d v="2025-07-18T00:00:00"/>
    <s v="No"/>
    <x v="1"/>
    <x v="1"/>
    <n v="6"/>
    <n v="2"/>
    <n v="81"/>
    <s v="No"/>
    <n v="0"/>
    <n v="9"/>
    <n v="1253.43"/>
    <x v="2"/>
  </r>
  <r>
    <x v="121"/>
    <x v="2"/>
    <x v="0"/>
    <s v="Manufacturing"/>
    <x v="0"/>
    <n v="72"/>
    <n v="2318.35"/>
    <x v="4"/>
    <x v="0"/>
    <d v="2024-07-07T00:00:00"/>
    <s v="No"/>
    <x v="1"/>
    <x v="1"/>
    <n v="4"/>
    <n v="7"/>
    <n v="50"/>
    <s v="Yes"/>
    <n v="0"/>
    <n v="21"/>
    <n v="48685.35"/>
    <x v="1"/>
  </r>
  <r>
    <x v="122"/>
    <x v="1"/>
    <x v="1"/>
    <s v="Healthcare"/>
    <x v="0"/>
    <n v="26"/>
    <n v="117.09"/>
    <x v="0"/>
    <x v="2"/>
    <d v="2024-07-13T00:00:00"/>
    <s v="No"/>
    <x v="1"/>
    <x v="1"/>
    <n v="4"/>
    <n v="4"/>
    <n v="48"/>
    <s v="No"/>
    <n v="0"/>
    <n v="21"/>
    <n v="2458.89"/>
    <x v="1"/>
  </r>
  <r>
    <x v="123"/>
    <x v="0"/>
    <x v="0"/>
    <s v="Legal"/>
    <x v="0"/>
    <n v="71"/>
    <n v="908.5"/>
    <x v="3"/>
    <x v="0"/>
    <d v="2022-12-15T00:00:00"/>
    <s v="No"/>
    <x v="1"/>
    <x v="1"/>
    <n v="2"/>
    <n v="5"/>
    <n v="31"/>
    <s v="No"/>
    <n v="0"/>
    <n v="40"/>
    <n v="36340"/>
    <x v="1"/>
  </r>
  <r>
    <x v="124"/>
    <x v="2"/>
    <x v="1"/>
    <s v="Legal"/>
    <x v="3"/>
    <n v="4"/>
    <n v="245.27"/>
    <x v="4"/>
    <x v="1"/>
    <d v="2025-03-12T00:00:00"/>
    <s v="No"/>
    <x v="1"/>
    <x v="1"/>
    <n v="11"/>
    <n v="6"/>
    <n v="36"/>
    <s v="Yes"/>
    <n v="0"/>
    <n v="13"/>
    <n v="3188.51"/>
    <x v="1"/>
  </r>
  <r>
    <x v="125"/>
    <x v="0"/>
    <x v="0"/>
    <s v="Healthcare"/>
    <x v="2"/>
    <n v="20"/>
    <n v="304.14999999999998"/>
    <x v="0"/>
    <x v="0"/>
    <d v="2023-06-14T00:00:00"/>
    <s v="No"/>
    <x v="1"/>
    <x v="1"/>
    <n v="1"/>
    <n v="5"/>
    <n v="40"/>
    <s v="Yes"/>
    <n v="0"/>
    <n v="34"/>
    <n v="10341.099999999999"/>
    <x v="1"/>
  </r>
  <r>
    <x v="126"/>
    <x v="1"/>
    <x v="0"/>
    <s v="Consulting"/>
    <x v="2"/>
    <n v="27"/>
    <n v="142.1"/>
    <x v="4"/>
    <x v="0"/>
    <d v="2024-12-10T00:00:00"/>
    <s v="Yes"/>
    <x v="67"/>
    <x v="5"/>
    <n v="3"/>
    <n v="3"/>
    <n v="38"/>
    <s v="No"/>
    <n v="1"/>
    <n v="1"/>
    <n v="142.1"/>
    <x v="1"/>
  </r>
  <r>
    <x v="127"/>
    <x v="1"/>
    <x v="0"/>
    <s v="Retail"/>
    <x v="4"/>
    <n v="46"/>
    <n v="224.75"/>
    <x v="4"/>
    <x v="2"/>
    <d v="2022-12-30T00:00:00"/>
    <s v="Yes"/>
    <x v="68"/>
    <x v="6"/>
    <n v="10"/>
    <n v="2"/>
    <n v="33"/>
    <s v="No"/>
    <n v="1"/>
    <n v="3"/>
    <n v="674.25"/>
    <x v="1"/>
  </r>
  <r>
    <x v="128"/>
    <x v="1"/>
    <x v="0"/>
    <s v="Finance"/>
    <x v="0"/>
    <n v="31"/>
    <n v="159.5"/>
    <x v="3"/>
    <x v="0"/>
    <d v="2022-08-24T00:00:00"/>
    <s v="Yes"/>
    <x v="8"/>
    <x v="7"/>
    <n v="10"/>
    <n v="4"/>
    <n v="22"/>
    <s v="No"/>
    <n v="1"/>
    <n v="1"/>
    <n v="159.5"/>
    <x v="0"/>
  </r>
  <r>
    <x v="129"/>
    <x v="0"/>
    <x v="0"/>
    <s v="Manufacturing"/>
    <x v="3"/>
    <n v="8"/>
    <n v="161.94999999999999"/>
    <x v="0"/>
    <x v="3"/>
    <d v="2025-07-04T00:00:00"/>
    <s v="No"/>
    <x v="1"/>
    <x v="1"/>
    <n v="6"/>
    <n v="1"/>
    <n v="68"/>
    <s v="No"/>
    <n v="0"/>
    <n v="9"/>
    <n v="1457.55"/>
    <x v="2"/>
  </r>
  <r>
    <x v="130"/>
    <x v="2"/>
    <x v="1"/>
    <s v="Legal"/>
    <x v="2"/>
    <n v="6"/>
    <n v="296.01"/>
    <x v="2"/>
    <x v="3"/>
    <d v="2025-01-02T00:00:00"/>
    <s v="No"/>
    <x v="1"/>
    <x v="1"/>
    <n v="11"/>
    <n v="9"/>
    <n v="36"/>
    <s v="No"/>
    <n v="0"/>
    <n v="15"/>
    <n v="4440.1499999999996"/>
    <x v="1"/>
  </r>
  <r>
    <x v="131"/>
    <x v="1"/>
    <x v="1"/>
    <s v="Consulting"/>
    <x v="3"/>
    <n v="8"/>
    <n v="50.53"/>
    <x v="5"/>
    <x v="0"/>
    <d v="2025-10-20T00:00:00"/>
    <s v="No"/>
    <x v="1"/>
    <x v="1"/>
    <n v="7"/>
    <n v="3"/>
    <n v="90"/>
    <s v="No"/>
    <n v="0"/>
    <n v="6"/>
    <n v="303.18"/>
    <x v="2"/>
  </r>
  <r>
    <x v="132"/>
    <x v="3"/>
    <x v="0"/>
    <s v="Consulting"/>
    <x v="3"/>
    <n v="1"/>
    <n v="499"/>
    <x v="3"/>
    <x v="0"/>
    <d v="2025-03-11T00:00:00"/>
    <s v="No"/>
    <x v="1"/>
    <x v="1"/>
    <n v="7"/>
    <n v="8"/>
    <n v="22"/>
    <s v="No"/>
    <n v="0"/>
    <n v="13"/>
    <n v="6487"/>
    <x v="0"/>
  </r>
  <r>
    <x v="133"/>
    <x v="2"/>
    <x v="1"/>
    <s v="Manufacturing"/>
    <x v="0"/>
    <n v="71"/>
    <n v="1945.22"/>
    <x v="3"/>
    <x v="3"/>
    <d v="2022-02-15T00:00:00"/>
    <s v="Yes"/>
    <x v="69"/>
    <x v="7"/>
    <n v="11"/>
    <n v="5"/>
    <n v="31"/>
    <s v="No"/>
    <n v="1"/>
    <n v="40"/>
    <n v="77808.800000000003"/>
    <x v="1"/>
  </r>
  <r>
    <x v="134"/>
    <x v="0"/>
    <x v="0"/>
    <s v="Retail"/>
    <x v="2"/>
    <n v="25"/>
    <n v="363.4"/>
    <x v="4"/>
    <x v="2"/>
    <d v="2022-08-16T00:00:00"/>
    <s v="No"/>
    <x v="1"/>
    <x v="1"/>
    <n v="5"/>
    <n v="9"/>
    <n v="85"/>
    <s v="No"/>
    <n v="0"/>
    <n v="44"/>
    <n v="15989.599999999999"/>
    <x v="2"/>
  </r>
  <r>
    <x v="135"/>
    <x v="0"/>
    <x v="1"/>
    <s v="Technology"/>
    <x v="1"/>
    <n v="106"/>
    <n v="1124.76"/>
    <x v="2"/>
    <x v="0"/>
    <d v="2022-03-06T00:00:00"/>
    <s v="No"/>
    <x v="1"/>
    <x v="1"/>
    <n v="4"/>
    <n v="4"/>
    <n v="87"/>
    <s v="No"/>
    <n v="0"/>
    <n v="49"/>
    <n v="55113.24"/>
    <x v="2"/>
  </r>
  <r>
    <x v="136"/>
    <x v="1"/>
    <x v="1"/>
    <s v="Real Estate"/>
    <x v="2"/>
    <n v="9"/>
    <n v="54.23"/>
    <x v="0"/>
    <x v="0"/>
    <d v="2023-05-07T00:00:00"/>
    <s v="Yes"/>
    <x v="70"/>
    <x v="2"/>
    <n v="4"/>
    <n v="2"/>
    <n v="41"/>
    <s v="No"/>
    <n v="1"/>
    <n v="9"/>
    <n v="488.07"/>
    <x v="1"/>
  </r>
  <r>
    <x v="137"/>
    <x v="1"/>
    <x v="0"/>
    <s v="Healthcare"/>
    <x v="2"/>
    <n v="21"/>
    <n v="116"/>
    <x v="1"/>
    <x v="1"/>
    <d v="2022-08-01T00:00:00"/>
    <s v="Yes"/>
    <x v="71"/>
    <x v="0"/>
    <n v="1"/>
    <n v="3"/>
    <n v="19"/>
    <s v="No"/>
    <n v="1"/>
    <n v="1"/>
    <n v="116"/>
    <x v="0"/>
  </r>
  <r>
    <x v="138"/>
    <x v="1"/>
    <x v="0"/>
    <s v="Finance"/>
    <x v="2"/>
    <n v="5"/>
    <n v="46.4"/>
    <x v="3"/>
    <x v="0"/>
    <d v="2025-01-06T00:00:00"/>
    <s v="Yes"/>
    <x v="72"/>
    <x v="4"/>
    <n v="7"/>
    <n v="3"/>
    <n v="22"/>
    <s v="No"/>
    <n v="1"/>
    <n v="11"/>
    <n v="510.4"/>
    <x v="0"/>
  </r>
  <r>
    <x v="139"/>
    <x v="1"/>
    <x v="0"/>
    <s v="Retail"/>
    <x v="4"/>
    <n v="131"/>
    <n v="594.5"/>
    <x v="2"/>
    <x v="0"/>
    <d v="2022-02-21T00:00:00"/>
    <s v="Yes"/>
    <x v="73"/>
    <x v="5"/>
    <n v="9"/>
    <n v="3"/>
    <n v="16"/>
    <s v="No"/>
    <n v="1"/>
    <n v="5"/>
    <n v="2972.5"/>
    <x v="0"/>
  </r>
  <r>
    <x v="140"/>
    <x v="2"/>
    <x v="1"/>
    <s v="Legal"/>
    <x v="0"/>
    <n v="18"/>
    <n v="600.48"/>
    <x v="4"/>
    <x v="0"/>
    <d v="2024-03-17T00:00:00"/>
    <s v="No"/>
    <x v="1"/>
    <x v="1"/>
    <n v="8"/>
    <n v="4"/>
    <n v="33"/>
    <s v="No"/>
    <n v="0"/>
    <n v="25"/>
    <n v="15012"/>
    <x v="1"/>
  </r>
  <r>
    <x v="141"/>
    <x v="1"/>
    <x v="1"/>
    <s v="Education"/>
    <x v="0"/>
    <n v="28"/>
    <n v="124.48"/>
    <x v="5"/>
    <x v="0"/>
    <d v="2024-08-30T00:00:00"/>
    <s v="No"/>
    <x v="1"/>
    <x v="1"/>
    <n v="8"/>
    <n v="3"/>
    <n v="32"/>
    <s v="No"/>
    <n v="0"/>
    <n v="20"/>
    <n v="2489.6"/>
    <x v="1"/>
  </r>
  <r>
    <x v="142"/>
    <x v="2"/>
    <x v="1"/>
    <s v="Finance"/>
    <x v="3"/>
    <n v="7"/>
    <n v="321.38"/>
    <x v="0"/>
    <x v="0"/>
    <d v="2025-09-28T00:00:00"/>
    <s v="No"/>
    <x v="1"/>
    <x v="1"/>
    <n v="12"/>
    <n v="1"/>
    <n v="43"/>
    <s v="No"/>
    <n v="0"/>
    <n v="7"/>
    <n v="2249.66"/>
    <x v="1"/>
  </r>
  <r>
    <x v="143"/>
    <x v="1"/>
    <x v="0"/>
    <s v="Real Estate"/>
    <x v="3"/>
    <n v="6"/>
    <n v="50.75"/>
    <x v="0"/>
    <x v="0"/>
    <d v="2023-04-02T00:00:00"/>
    <s v="Yes"/>
    <x v="74"/>
    <x v="7"/>
    <n v="3"/>
    <n v="1"/>
    <n v="44"/>
    <s v="No"/>
    <n v="1"/>
    <n v="3"/>
    <n v="152.25"/>
    <x v="1"/>
  </r>
  <r>
    <x v="144"/>
    <x v="0"/>
    <x v="1"/>
    <s v="Finance"/>
    <x v="2"/>
    <n v="8"/>
    <n v="137.66"/>
    <x v="1"/>
    <x v="0"/>
    <d v="2023-12-17T00:00:00"/>
    <s v="Yes"/>
    <x v="75"/>
    <x v="2"/>
    <n v="3"/>
    <n v="3"/>
    <n v="30"/>
    <s v="No"/>
    <n v="1"/>
    <n v="11"/>
    <n v="1514.26"/>
    <x v="1"/>
  </r>
  <r>
    <x v="145"/>
    <x v="3"/>
    <x v="0"/>
    <s v="Legal"/>
    <x v="2"/>
    <n v="15"/>
    <n v="1546.9"/>
    <x v="0"/>
    <x v="0"/>
    <d v="2022-06-27T00:00:00"/>
    <s v="No"/>
    <x v="1"/>
    <x v="1"/>
    <n v="1"/>
    <n v="5"/>
    <n v="61"/>
    <s v="No"/>
    <n v="0"/>
    <n v="46"/>
    <n v="71157.400000000009"/>
    <x v="2"/>
  </r>
  <r>
    <x v="146"/>
    <x v="1"/>
    <x v="1"/>
    <s v="Manufacturing"/>
    <x v="3"/>
    <n v="6"/>
    <n v="43.14"/>
    <x v="4"/>
    <x v="0"/>
    <d v="2023-10-05T00:00:00"/>
    <s v="Yes"/>
    <x v="76"/>
    <x v="0"/>
    <n v="5"/>
    <n v="3"/>
    <n v="15"/>
    <s v="No"/>
    <n v="1"/>
    <n v="1"/>
    <n v="43.14"/>
    <x v="0"/>
  </r>
  <r>
    <x v="147"/>
    <x v="3"/>
    <x v="0"/>
    <s v="Media"/>
    <x v="0"/>
    <n v="73"/>
    <n v="5888.2"/>
    <x v="0"/>
    <x v="1"/>
    <d v="2025-02-26T00:00:00"/>
    <s v="No"/>
    <x v="1"/>
    <x v="1"/>
    <n v="5"/>
    <n v="2"/>
    <n v="54"/>
    <s v="No"/>
    <n v="0"/>
    <n v="14"/>
    <n v="82434.8"/>
    <x v="1"/>
  </r>
  <r>
    <x v="148"/>
    <x v="0"/>
    <x v="0"/>
    <s v="Manufacturing"/>
    <x v="3"/>
    <n v="1"/>
    <n v="79"/>
    <x v="1"/>
    <x v="0"/>
    <d v="2025-07-28T00:00:00"/>
    <s v="No"/>
    <x v="1"/>
    <x v="1"/>
    <n v="11"/>
    <n v="6"/>
    <n v="74"/>
    <s v="No"/>
    <n v="0"/>
    <n v="9"/>
    <n v="711"/>
    <x v="2"/>
  </r>
  <r>
    <x v="149"/>
    <x v="0"/>
    <x v="0"/>
    <s v="Manufacturing"/>
    <x v="2"/>
    <n v="26"/>
    <n v="375.25"/>
    <x v="0"/>
    <x v="3"/>
    <d v="2023-07-02T00:00:00"/>
    <s v="Yes"/>
    <x v="77"/>
    <x v="0"/>
    <n v="13"/>
    <n v="1"/>
    <n v="29"/>
    <s v="No"/>
    <n v="1"/>
    <n v="7"/>
    <n v="2626.75"/>
    <x v="0"/>
  </r>
  <r>
    <x v="150"/>
    <x v="1"/>
    <x v="0"/>
    <s v="Retail"/>
    <x v="3"/>
    <n v="5"/>
    <n v="46.4"/>
    <x v="5"/>
    <x v="0"/>
    <d v="2024-05-26T00:00:00"/>
    <s v="Yes"/>
    <x v="78"/>
    <x v="6"/>
    <n v="7"/>
    <n v="5"/>
    <n v="15"/>
    <s v="No"/>
    <n v="1"/>
    <n v="6"/>
    <n v="278.39999999999998"/>
    <x v="0"/>
  </r>
  <r>
    <x v="151"/>
    <x v="2"/>
    <x v="1"/>
    <s v="Retail"/>
    <x v="1"/>
    <n v="199"/>
    <n v="5192.8999999999996"/>
    <x v="2"/>
    <x v="0"/>
    <d v="2023-06-09T00:00:00"/>
    <s v="Yes"/>
    <x v="79"/>
    <x v="2"/>
    <n v="4"/>
    <n v="5"/>
    <n v="36"/>
    <s v="No"/>
    <n v="1"/>
    <n v="14"/>
    <n v="72700.599999999991"/>
    <x v="1"/>
  </r>
  <r>
    <x v="152"/>
    <x v="1"/>
    <x v="0"/>
    <s v="Retail"/>
    <x v="3"/>
    <n v="6"/>
    <n v="50.75"/>
    <x v="2"/>
    <x v="0"/>
    <d v="2025-05-09T00:00:00"/>
    <s v="Yes"/>
    <x v="80"/>
    <x v="4"/>
    <n v="8"/>
    <n v="4"/>
    <n v="18"/>
    <s v="No"/>
    <n v="1"/>
    <n v="6"/>
    <n v="304.5"/>
    <x v="0"/>
  </r>
  <r>
    <x v="153"/>
    <x v="0"/>
    <x v="1"/>
    <s v="Legal"/>
    <x v="3"/>
    <n v="1"/>
    <n v="67.150000000000006"/>
    <x v="2"/>
    <x v="1"/>
    <d v="2024-08-11T00:00:00"/>
    <s v="Yes"/>
    <x v="81"/>
    <x v="2"/>
    <n v="1"/>
    <n v="5"/>
    <n v="14"/>
    <s v="No"/>
    <n v="1"/>
    <n v="6"/>
    <n v="402.90000000000003"/>
    <x v="0"/>
  </r>
  <r>
    <x v="154"/>
    <x v="1"/>
    <x v="0"/>
    <s v="Consulting"/>
    <x v="1"/>
    <n v="230"/>
    <n v="1025.1500000000001"/>
    <x v="3"/>
    <x v="2"/>
    <d v="2022-10-14T00:00:00"/>
    <s v="Yes"/>
    <x v="82"/>
    <x v="0"/>
    <n v="6"/>
    <n v="2"/>
    <n v="35"/>
    <s v="No"/>
    <n v="1"/>
    <n v="17"/>
    <n v="17427.550000000003"/>
    <x v="1"/>
  </r>
  <r>
    <x v="155"/>
    <x v="2"/>
    <x v="0"/>
    <s v="Healthcare"/>
    <x v="2"/>
    <n v="7"/>
    <n v="378.1"/>
    <x v="0"/>
    <x v="0"/>
    <d v="2024-09-20T00:00:00"/>
    <s v="No"/>
    <x v="1"/>
    <x v="1"/>
    <n v="4"/>
    <n v="5"/>
    <n v="83"/>
    <s v="No"/>
    <n v="0"/>
    <n v="19"/>
    <n v="7183.9000000000005"/>
    <x v="2"/>
  </r>
  <r>
    <x v="156"/>
    <x v="0"/>
    <x v="1"/>
    <s v="Education"/>
    <x v="3"/>
    <n v="5"/>
    <n v="107.44"/>
    <x v="1"/>
    <x v="1"/>
    <d v="2023-08-06T00:00:00"/>
    <s v="No"/>
    <x v="1"/>
    <x v="1"/>
    <n v="9"/>
    <n v="2"/>
    <n v="80"/>
    <s v="No"/>
    <n v="0"/>
    <n v="32"/>
    <n v="3438.08"/>
    <x v="2"/>
  </r>
  <r>
    <x v="157"/>
    <x v="3"/>
    <x v="0"/>
    <s v="Technology"/>
    <x v="2"/>
    <n v="20"/>
    <n v="1921.15"/>
    <x v="0"/>
    <x v="3"/>
    <d v="2023-04-18T00:00:00"/>
    <s v="No"/>
    <x v="1"/>
    <x v="1"/>
    <n v="6"/>
    <n v="2"/>
    <n v="35"/>
    <s v="No"/>
    <n v="0"/>
    <n v="36"/>
    <n v="69161.400000000009"/>
    <x v="1"/>
  </r>
  <r>
    <x v="158"/>
    <x v="1"/>
    <x v="1"/>
    <s v="Manufacturing"/>
    <x v="0"/>
    <n v="66"/>
    <n v="264.99"/>
    <x v="3"/>
    <x v="2"/>
    <d v="2025-10-25T00:00:00"/>
    <s v="No"/>
    <x v="1"/>
    <x v="1"/>
    <n v="8"/>
    <n v="8"/>
    <n v="30"/>
    <s v="No"/>
    <n v="0"/>
    <n v="6"/>
    <n v="1589.94"/>
    <x v="1"/>
  </r>
  <r>
    <x v="159"/>
    <x v="0"/>
    <x v="1"/>
    <s v="Legal"/>
    <x v="0"/>
    <n v="71"/>
    <n v="772.22"/>
    <x v="0"/>
    <x v="2"/>
    <d v="2025-01-07T00:00:00"/>
    <s v="No"/>
    <x v="1"/>
    <x v="1"/>
    <n v="9"/>
    <n v="5"/>
    <n v="93"/>
    <s v="No"/>
    <n v="0"/>
    <n v="15"/>
    <n v="11583.300000000001"/>
    <x v="2"/>
  </r>
  <r>
    <x v="160"/>
    <x v="2"/>
    <x v="1"/>
    <s v="Education"/>
    <x v="3"/>
    <n v="4"/>
    <n v="245.27"/>
    <x v="2"/>
    <x v="1"/>
    <d v="2024-12-11T00:00:00"/>
    <s v="Yes"/>
    <x v="83"/>
    <x v="0"/>
    <n v="0"/>
    <n v="6"/>
    <n v="28"/>
    <s v="No"/>
    <n v="1"/>
    <n v="4"/>
    <n v="981.08"/>
    <x v="0"/>
  </r>
  <r>
    <x v="161"/>
    <x v="1"/>
    <x v="0"/>
    <s v="Finance"/>
    <x v="1"/>
    <n v="150"/>
    <n v="677.15"/>
    <x v="4"/>
    <x v="1"/>
    <d v="2022-08-09T00:00:00"/>
    <s v="Yes"/>
    <x v="84"/>
    <x v="4"/>
    <n v="0"/>
    <n v="3"/>
    <n v="44"/>
    <s v="No"/>
    <n v="1"/>
    <n v="15"/>
    <n v="10157.25"/>
    <x v="1"/>
  </r>
  <r>
    <x v="162"/>
    <x v="1"/>
    <x v="1"/>
    <s v="Manufacturing"/>
    <x v="3"/>
    <n v="2"/>
    <n v="28.35"/>
    <x v="4"/>
    <x v="2"/>
    <d v="2025-01-28T00:00:00"/>
    <s v="No"/>
    <x v="1"/>
    <x v="1"/>
    <n v="3"/>
    <n v="8"/>
    <n v="20"/>
    <s v="No"/>
    <n v="0"/>
    <n v="15"/>
    <n v="425.25"/>
    <x v="0"/>
  </r>
  <r>
    <x v="163"/>
    <x v="1"/>
    <x v="1"/>
    <s v="Healthcare"/>
    <x v="1"/>
    <n v="220"/>
    <n v="834.4"/>
    <x v="0"/>
    <x v="1"/>
    <d v="2023-08-19T00:00:00"/>
    <s v="Yes"/>
    <x v="85"/>
    <x v="3"/>
    <n v="4"/>
    <n v="3"/>
    <n v="12"/>
    <s v="No"/>
    <n v="1"/>
    <n v="21"/>
    <n v="17522.399999999998"/>
    <x v="0"/>
  </r>
  <r>
    <x v="164"/>
    <x v="1"/>
    <x v="1"/>
    <s v="Real Estate"/>
    <x v="4"/>
    <n v="34"/>
    <n v="146.66999999999999"/>
    <x v="0"/>
    <x v="2"/>
    <d v="2024-07-15T00:00:00"/>
    <s v="No"/>
    <x v="1"/>
    <x v="1"/>
    <n v="12"/>
    <n v="5"/>
    <n v="60"/>
    <s v="No"/>
    <n v="0"/>
    <n v="21"/>
    <n v="3080.0699999999997"/>
    <x v="2"/>
  </r>
  <r>
    <x v="165"/>
    <x v="1"/>
    <x v="0"/>
    <s v="Healthcare"/>
    <x v="3"/>
    <n v="1"/>
    <n v="29"/>
    <x v="5"/>
    <x v="1"/>
    <d v="2023-09-18T00:00:00"/>
    <s v="Yes"/>
    <x v="86"/>
    <x v="6"/>
    <n v="7"/>
    <n v="5"/>
    <n v="20"/>
    <s v="No"/>
    <n v="1"/>
    <n v="16"/>
    <n v="464"/>
    <x v="0"/>
  </r>
  <r>
    <x v="166"/>
    <x v="1"/>
    <x v="1"/>
    <s v="Legal"/>
    <x v="0"/>
    <n v="40"/>
    <n v="168.85"/>
    <x v="0"/>
    <x v="0"/>
    <d v="2024-12-24T00:00:00"/>
    <s v="No"/>
    <x v="1"/>
    <x v="1"/>
    <n v="10"/>
    <n v="6"/>
    <n v="35"/>
    <s v="No"/>
    <n v="0"/>
    <n v="16"/>
    <n v="2701.6"/>
    <x v="1"/>
  </r>
  <r>
    <x v="167"/>
    <x v="2"/>
    <x v="0"/>
    <s v="Legal"/>
    <x v="2"/>
    <n v="29"/>
    <n v="1034.8"/>
    <x v="2"/>
    <x v="1"/>
    <d v="2023-04-05T00:00:00"/>
    <s v="Yes"/>
    <x v="87"/>
    <x v="6"/>
    <n v="12"/>
    <n v="6"/>
    <n v="45"/>
    <s v="No"/>
    <n v="1"/>
    <n v="0"/>
    <n v="0"/>
    <x v="1"/>
  </r>
  <r>
    <x v="168"/>
    <x v="2"/>
    <x v="1"/>
    <s v="Consulting"/>
    <x v="2"/>
    <n v="5"/>
    <n v="270.64"/>
    <x v="4"/>
    <x v="0"/>
    <d v="2023-12-06T00:00:00"/>
    <s v="No"/>
    <x v="1"/>
    <x v="1"/>
    <n v="0"/>
    <n v="1"/>
    <n v="55"/>
    <s v="Yes"/>
    <n v="0"/>
    <n v="28"/>
    <n v="7577.92"/>
    <x v="1"/>
  </r>
  <r>
    <x v="169"/>
    <x v="2"/>
    <x v="0"/>
    <s v="Media"/>
    <x v="2"/>
    <n v="32"/>
    <n v="1124.3499999999999"/>
    <x v="5"/>
    <x v="2"/>
    <d v="2024-10-17T00:00:00"/>
    <s v="No"/>
    <x v="1"/>
    <x v="1"/>
    <n v="1"/>
    <n v="1"/>
    <n v="91"/>
    <s v="No"/>
    <n v="0"/>
    <n v="18"/>
    <n v="20238.3"/>
    <x v="2"/>
  </r>
  <r>
    <x v="170"/>
    <x v="1"/>
    <x v="0"/>
    <s v="Finance"/>
    <x v="3"/>
    <n v="7"/>
    <n v="55.1"/>
    <x v="0"/>
    <x v="1"/>
    <d v="2022-09-18T00:00:00"/>
    <s v="Yes"/>
    <x v="88"/>
    <x v="4"/>
    <n v="3"/>
    <n v="2"/>
    <n v="24"/>
    <s v="No"/>
    <n v="1"/>
    <n v="10"/>
    <n v="551"/>
    <x v="0"/>
  </r>
  <r>
    <x v="171"/>
    <x v="2"/>
    <x v="0"/>
    <s v="Healthcare"/>
    <x v="3"/>
    <n v="5"/>
    <n v="318.39999999999998"/>
    <x v="3"/>
    <x v="0"/>
    <d v="2022-07-10T00:00:00"/>
    <s v="Yes"/>
    <x v="89"/>
    <x v="6"/>
    <n v="14"/>
    <n v="3"/>
    <n v="38"/>
    <s v="No"/>
    <n v="1"/>
    <n v="21"/>
    <n v="6686.4"/>
    <x v="1"/>
  </r>
  <r>
    <x v="172"/>
    <x v="0"/>
    <x v="1"/>
    <s v="Media"/>
    <x v="3"/>
    <n v="6"/>
    <n v="117.51"/>
    <x v="5"/>
    <x v="2"/>
    <d v="2024-09-14T00:00:00"/>
    <s v="No"/>
    <x v="1"/>
    <x v="1"/>
    <n v="12"/>
    <n v="9"/>
    <n v="38"/>
    <s v="No"/>
    <n v="0"/>
    <n v="19"/>
    <n v="2232.69"/>
    <x v="1"/>
  </r>
  <r>
    <x v="173"/>
    <x v="3"/>
    <x v="1"/>
    <s v="Education"/>
    <x v="4"/>
    <n v="65"/>
    <n v="4495.99"/>
    <x v="4"/>
    <x v="0"/>
    <d v="2024-11-30T00:00:00"/>
    <s v="No"/>
    <x v="1"/>
    <x v="1"/>
    <n v="10"/>
    <n v="2"/>
    <n v="91"/>
    <s v="No"/>
    <n v="0"/>
    <n v="17"/>
    <n v="76431.83"/>
    <x v="2"/>
  </r>
  <r>
    <x v="174"/>
    <x v="2"/>
    <x v="1"/>
    <s v="Consulting"/>
    <x v="0"/>
    <n v="50"/>
    <n v="1412.4"/>
    <x v="1"/>
    <x v="0"/>
    <d v="2022-10-11T00:00:00"/>
    <s v="No"/>
    <x v="1"/>
    <x v="1"/>
    <n v="12"/>
    <n v="8"/>
    <n v="26"/>
    <s v="No"/>
    <n v="0"/>
    <n v="42"/>
    <n v="59320.800000000003"/>
    <x v="0"/>
  </r>
  <r>
    <x v="175"/>
    <x v="1"/>
    <x v="0"/>
    <s v="Media"/>
    <x v="1"/>
    <n v="205"/>
    <n v="916.4"/>
    <x v="5"/>
    <x v="0"/>
    <d v="2023-08-06T00:00:00"/>
    <s v="Yes"/>
    <x v="90"/>
    <x v="4"/>
    <n v="7"/>
    <n v="3"/>
    <n v="19"/>
    <s v="No"/>
    <n v="1"/>
    <n v="1"/>
    <n v="916.4"/>
    <x v="0"/>
  </r>
  <r>
    <x v="176"/>
    <x v="0"/>
    <x v="0"/>
    <s v="Technology"/>
    <x v="1"/>
    <n v="239"/>
    <n v="2899.3"/>
    <x v="2"/>
    <x v="2"/>
    <d v="2024-12-06T00:00:00"/>
    <s v="Yes"/>
    <x v="91"/>
    <x v="2"/>
    <n v="4"/>
    <n v="6"/>
    <n v="14"/>
    <s v="No"/>
    <n v="1"/>
    <n v="11"/>
    <n v="31892.300000000003"/>
    <x v="0"/>
  </r>
  <r>
    <x v="177"/>
    <x v="0"/>
    <x v="1"/>
    <s v="Manufacturing"/>
    <x v="2"/>
    <n v="31"/>
    <n v="369.33"/>
    <x v="1"/>
    <x v="2"/>
    <d v="2024-09-11T00:00:00"/>
    <s v="No"/>
    <x v="1"/>
    <x v="1"/>
    <n v="4"/>
    <n v="6"/>
    <n v="81"/>
    <s v="No"/>
    <n v="0"/>
    <n v="19"/>
    <n v="7017.2699999999995"/>
    <x v="2"/>
  </r>
  <r>
    <x v="178"/>
    <x v="1"/>
    <x v="0"/>
    <s v="Consulting"/>
    <x v="0"/>
    <n v="67"/>
    <n v="316.10000000000002"/>
    <x v="3"/>
    <x v="1"/>
    <d v="2024-06-25T00:00:00"/>
    <s v="No"/>
    <x v="1"/>
    <x v="1"/>
    <n v="3"/>
    <n v="10"/>
    <n v="26"/>
    <s v="No"/>
    <n v="0"/>
    <n v="22"/>
    <n v="6954.2000000000007"/>
    <x v="0"/>
  </r>
  <r>
    <x v="179"/>
    <x v="0"/>
    <x v="1"/>
    <s v="Real Estate"/>
    <x v="0"/>
    <n v="29"/>
    <n v="349.18"/>
    <x v="3"/>
    <x v="0"/>
    <d v="2022-10-12T00:00:00"/>
    <s v="Yes"/>
    <x v="92"/>
    <x v="4"/>
    <n v="2"/>
    <n v="5"/>
    <n v="42"/>
    <s v="No"/>
    <n v="1"/>
    <n v="29"/>
    <n v="10126.219999999999"/>
    <x v="1"/>
  </r>
  <r>
    <x v="180"/>
    <x v="0"/>
    <x v="0"/>
    <s v="Education"/>
    <x v="3"/>
    <n v="4"/>
    <n v="114.55"/>
    <x v="4"/>
    <x v="0"/>
    <d v="2024-02-08T00:00:00"/>
    <s v="Yes"/>
    <x v="15"/>
    <x v="0"/>
    <n v="9"/>
    <n v="4"/>
    <n v="44"/>
    <s v="No"/>
    <n v="1"/>
    <n v="2"/>
    <n v="229.1"/>
    <x v="1"/>
  </r>
  <r>
    <x v="181"/>
    <x v="0"/>
    <x v="1"/>
    <s v="Real Estate"/>
    <x v="0"/>
    <n v="76"/>
    <n v="822.59"/>
    <x v="2"/>
    <x v="1"/>
    <d v="2024-05-02T00:00:00"/>
    <s v="No"/>
    <x v="1"/>
    <x v="1"/>
    <n v="9"/>
    <n v="6"/>
    <n v="37"/>
    <s v="No"/>
    <n v="0"/>
    <n v="23"/>
    <n v="18919.57"/>
    <x v="1"/>
  </r>
  <r>
    <x v="182"/>
    <x v="1"/>
    <x v="1"/>
    <s v="Education"/>
    <x v="4"/>
    <n v="83"/>
    <n v="327.84"/>
    <x v="2"/>
    <x v="0"/>
    <d v="2023-10-01T00:00:00"/>
    <s v="Yes"/>
    <x v="93"/>
    <x v="4"/>
    <n v="8"/>
    <n v="4"/>
    <n v="26"/>
    <s v="No"/>
    <n v="1"/>
    <n v="15"/>
    <n v="4917.5999999999995"/>
    <x v="0"/>
  </r>
  <r>
    <x v="183"/>
    <x v="1"/>
    <x v="0"/>
    <s v="Manufacturing"/>
    <x v="3"/>
    <n v="7"/>
    <n v="55.1"/>
    <x v="2"/>
    <x v="1"/>
    <d v="2024-11-20T00:00:00"/>
    <s v="No"/>
    <x v="1"/>
    <x v="1"/>
    <n v="8"/>
    <n v="2"/>
    <n v="63"/>
    <s v="No"/>
    <n v="0"/>
    <n v="17"/>
    <n v="936.7"/>
    <x v="2"/>
  </r>
  <r>
    <x v="184"/>
    <x v="0"/>
    <x v="1"/>
    <s v="Media"/>
    <x v="4"/>
    <n v="96"/>
    <n v="1024.04"/>
    <x v="3"/>
    <x v="0"/>
    <d v="2025-11-17T00:00:00"/>
    <s v="No"/>
    <x v="1"/>
    <x v="1"/>
    <n v="3"/>
    <n v="8"/>
    <n v="48"/>
    <s v="No"/>
    <n v="0"/>
    <n v="5"/>
    <n v="5120.2"/>
    <x v="1"/>
  </r>
  <r>
    <x v="185"/>
    <x v="2"/>
    <x v="0"/>
    <s v="Finance"/>
    <x v="3"/>
    <n v="6"/>
    <n v="348.25"/>
    <x v="2"/>
    <x v="2"/>
    <d v="2025-06-25T00:00:00"/>
    <s v="Yes"/>
    <x v="94"/>
    <x v="4"/>
    <n v="3"/>
    <n v="2"/>
    <n v="17"/>
    <s v="No"/>
    <n v="1"/>
    <n v="5"/>
    <n v="1741.25"/>
    <x v="0"/>
  </r>
  <r>
    <x v="186"/>
    <x v="0"/>
    <x v="0"/>
    <s v="Education"/>
    <x v="3"/>
    <n v="4"/>
    <n v="114.55"/>
    <x v="4"/>
    <x v="2"/>
    <d v="2024-09-10T00:00:00"/>
    <s v="Yes"/>
    <x v="95"/>
    <x v="0"/>
    <n v="9"/>
    <n v="3"/>
    <n v="24"/>
    <s v="No"/>
    <n v="1"/>
    <n v="2"/>
    <n v="229.1"/>
    <x v="0"/>
  </r>
  <r>
    <x v="187"/>
    <x v="2"/>
    <x v="0"/>
    <s v="Healthcare"/>
    <x v="2"/>
    <n v="28"/>
    <n v="1004.95"/>
    <x v="3"/>
    <x v="2"/>
    <d v="2022-08-11T00:00:00"/>
    <s v="Yes"/>
    <x v="96"/>
    <x v="3"/>
    <n v="13"/>
    <n v="4"/>
    <n v="15"/>
    <s v="No"/>
    <n v="1"/>
    <n v="28"/>
    <n v="28138.600000000002"/>
    <x v="0"/>
  </r>
  <r>
    <x v="188"/>
    <x v="1"/>
    <x v="0"/>
    <s v="Consulting"/>
    <x v="4"/>
    <n v="141"/>
    <n v="638"/>
    <x v="1"/>
    <x v="0"/>
    <d v="2025-09-11T00:00:00"/>
    <s v="No"/>
    <x v="1"/>
    <x v="1"/>
    <n v="11"/>
    <n v="4"/>
    <n v="88"/>
    <s v="No"/>
    <n v="0"/>
    <n v="7"/>
    <n v="4466"/>
    <x v="2"/>
  </r>
  <r>
    <x v="189"/>
    <x v="0"/>
    <x v="0"/>
    <s v="Consulting"/>
    <x v="0"/>
    <n v="70"/>
    <n v="896.65"/>
    <x v="5"/>
    <x v="0"/>
    <d v="2023-07-10T00:00:00"/>
    <s v="No"/>
    <x v="1"/>
    <x v="1"/>
    <n v="7"/>
    <n v="10"/>
    <n v="63"/>
    <s v="No"/>
    <n v="0"/>
    <n v="33"/>
    <n v="29589.45"/>
    <x v="2"/>
  </r>
  <r>
    <x v="190"/>
    <x v="1"/>
    <x v="0"/>
    <s v="Media"/>
    <x v="2"/>
    <n v="30"/>
    <n v="155.15"/>
    <x v="2"/>
    <x v="0"/>
    <d v="2022-12-21T00:00:00"/>
    <s v="Yes"/>
    <x v="97"/>
    <x v="6"/>
    <n v="15"/>
    <n v="2"/>
    <n v="23"/>
    <s v="No"/>
    <n v="1"/>
    <n v="1"/>
    <n v="155.15"/>
    <x v="0"/>
  </r>
  <r>
    <x v="191"/>
    <x v="2"/>
    <x v="0"/>
    <s v="Real Estate"/>
    <x v="0"/>
    <n v="74"/>
    <n v="2378.0500000000002"/>
    <x v="5"/>
    <x v="0"/>
    <d v="2022-03-16T00:00:00"/>
    <s v="No"/>
    <x v="1"/>
    <x v="1"/>
    <n v="8"/>
    <n v="10"/>
    <n v="46"/>
    <s v="Yes"/>
    <n v="0"/>
    <n v="49"/>
    <n v="116524.45000000001"/>
    <x v="1"/>
  </r>
  <r>
    <x v="192"/>
    <x v="3"/>
    <x v="0"/>
    <s v="Retail"/>
    <x v="2"/>
    <n v="33"/>
    <n v="2894.2"/>
    <x v="5"/>
    <x v="0"/>
    <d v="2024-09-18T00:00:00"/>
    <s v="No"/>
    <x v="1"/>
    <x v="1"/>
    <n v="0"/>
    <n v="1"/>
    <n v="43"/>
    <s v="Yes"/>
    <n v="0"/>
    <n v="19"/>
    <n v="54989.799999999996"/>
    <x v="1"/>
  </r>
  <r>
    <x v="193"/>
    <x v="1"/>
    <x v="1"/>
    <s v="Finance"/>
    <x v="1"/>
    <n v="225"/>
    <n v="852.89"/>
    <x v="3"/>
    <x v="1"/>
    <d v="2023-02-27T00:00:00"/>
    <s v="No"/>
    <x v="1"/>
    <x v="1"/>
    <n v="6"/>
    <n v="9"/>
    <n v="50"/>
    <s v="Yes"/>
    <n v="0"/>
    <n v="38"/>
    <n v="32409.82"/>
    <x v="1"/>
  </r>
  <r>
    <x v="194"/>
    <x v="1"/>
    <x v="1"/>
    <s v="Education"/>
    <x v="3"/>
    <n v="3"/>
    <n v="32.049999999999997"/>
    <x v="4"/>
    <x v="0"/>
    <d v="2023-10-21T00:00:00"/>
    <s v="Yes"/>
    <x v="98"/>
    <x v="4"/>
    <n v="4"/>
    <n v="5"/>
    <n v="33"/>
    <s v="No"/>
    <n v="1"/>
    <n v="8"/>
    <n v="256.39999999999998"/>
    <x v="1"/>
  </r>
  <r>
    <x v="195"/>
    <x v="0"/>
    <x v="1"/>
    <s v="Media"/>
    <x v="2"/>
    <n v="20"/>
    <n v="258.52999999999997"/>
    <x v="4"/>
    <x v="1"/>
    <d v="2025-03-06T00:00:00"/>
    <s v="No"/>
    <x v="1"/>
    <x v="1"/>
    <n v="6"/>
    <n v="7"/>
    <n v="95"/>
    <s v="No"/>
    <n v="0"/>
    <n v="13"/>
    <n v="3360.8899999999994"/>
    <x v="2"/>
  </r>
  <r>
    <x v="196"/>
    <x v="3"/>
    <x v="0"/>
    <s v="Consulting"/>
    <x v="3"/>
    <n v="1"/>
    <n v="499"/>
    <x v="0"/>
    <x v="2"/>
    <d v="2022-03-25T00:00:00"/>
    <s v="No"/>
    <x v="1"/>
    <x v="1"/>
    <n v="8"/>
    <n v="7"/>
    <n v="32"/>
    <s v="No"/>
    <n v="0"/>
    <n v="49"/>
    <n v="24451"/>
    <x v="1"/>
  </r>
  <r>
    <x v="197"/>
    <x v="1"/>
    <x v="0"/>
    <s v="Healthcare"/>
    <x v="0"/>
    <n v="21"/>
    <n v="116"/>
    <x v="3"/>
    <x v="1"/>
    <d v="2023-04-19T00:00:00"/>
    <s v="Yes"/>
    <x v="67"/>
    <x v="7"/>
    <n v="0"/>
    <n v="1"/>
    <n v="15"/>
    <s v="No"/>
    <n v="1"/>
    <n v="20"/>
    <n v="2320"/>
    <x v="0"/>
  </r>
  <r>
    <x v="198"/>
    <x v="0"/>
    <x v="1"/>
    <s v="Legal"/>
    <x v="3"/>
    <n v="4"/>
    <n v="97.37"/>
    <x v="4"/>
    <x v="0"/>
    <d v="2025-03-03T00:00:00"/>
    <s v="No"/>
    <x v="1"/>
    <x v="1"/>
    <n v="2"/>
    <n v="4"/>
    <n v="36"/>
    <s v="No"/>
    <n v="0"/>
    <n v="13"/>
    <n v="1265.81"/>
    <x v="1"/>
  </r>
  <r>
    <x v="199"/>
    <x v="0"/>
    <x v="1"/>
    <s v="Education"/>
    <x v="4"/>
    <n v="35"/>
    <n v="409.62"/>
    <x v="0"/>
    <x v="0"/>
    <d v="2022-10-24T00:00:00"/>
    <s v="Yes"/>
    <x v="99"/>
    <x v="7"/>
    <n v="15"/>
    <n v="1"/>
    <n v="21"/>
    <s v="No"/>
    <n v="1"/>
    <n v="24"/>
    <n v="9830.880000000001"/>
    <x v="0"/>
  </r>
  <r>
    <x v="200"/>
    <x v="1"/>
    <x v="0"/>
    <s v="Media"/>
    <x v="2"/>
    <n v="13"/>
    <n v="81.2"/>
    <x v="2"/>
    <x v="1"/>
    <d v="2023-06-28T00:00:00"/>
    <s v="Yes"/>
    <x v="100"/>
    <x v="4"/>
    <n v="15"/>
    <n v="1"/>
    <n v="44"/>
    <s v="No"/>
    <n v="1"/>
    <n v="15"/>
    <n v="1218"/>
    <x v="1"/>
  </r>
  <r>
    <x v="201"/>
    <x v="1"/>
    <x v="0"/>
    <s v="Legal"/>
    <x v="2"/>
    <n v="30"/>
    <n v="155.15"/>
    <x v="2"/>
    <x v="3"/>
    <d v="2023-10-06T00:00:00"/>
    <s v="Yes"/>
    <x v="101"/>
    <x v="0"/>
    <n v="3"/>
    <n v="1"/>
    <n v="25"/>
    <s v="No"/>
    <n v="1"/>
    <n v="0"/>
    <n v="0"/>
    <x v="0"/>
  </r>
  <r>
    <x v="202"/>
    <x v="2"/>
    <x v="0"/>
    <s v="Consulting"/>
    <x v="3"/>
    <n v="8"/>
    <n v="407.95"/>
    <x v="1"/>
    <x v="3"/>
    <d v="2023-07-30T00:00:00"/>
    <s v="Yes"/>
    <x v="46"/>
    <x v="4"/>
    <n v="1"/>
    <n v="5"/>
    <n v="12"/>
    <s v="No"/>
    <n v="1"/>
    <n v="20"/>
    <n v="8159"/>
    <x v="0"/>
  </r>
  <r>
    <x v="203"/>
    <x v="1"/>
    <x v="0"/>
    <s v="Education"/>
    <x v="0"/>
    <n v="64"/>
    <n v="303.05"/>
    <x v="2"/>
    <x v="0"/>
    <d v="2024-05-19T00:00:00"/>
    <s v="Yes"/>
    <x v="102"/>
    <x v="2"/>
    <n v="11"/>
    <n v="1"/>
    <n v="49"/>
    <s v="No"/>
    <n v="1"/>
    <n v="2"/>
    <n v="606.1"/>
    <x v="1"/>
  </r>
  <r>
    <x v="204"/>
    <x v="2"/>
    <x v="1"/>
    <s v="Healthcare"/>
    <x v="0"/>
    <n v="67"/>
    <n v="1843.73"/>
    <x v="0"/>
    <x v="1"/>
    <d v="2023-12-17T00:00:00"/>
    <s v="No"/>
    <x v="1"/>
    <x v="1"/>
    <n v="12"/>
    <n v="1"/>
    <n v="85"/>
    <s v="Yes"/>
    <n v="0"/>
    <n v="28"/>
    <n v="51624.44"/>
    <x v="2"/>
  </r>
  <r>
    <x v="205"/>
    <x v="1"/>
    <x v="0"/>
    <s v="Healthcare"/>
    <x v="4"/>
    <n v="72"/>
    <n v="337.85"/>
    <x v="0"/>
    <x v="1"/>
    <d v="2024-03-23T00:00:00"/>
    <s v="Yes"/>
    <x v="103"/>
    <x v="3"/>
    <n v="5"/>
    <n v="6"/>
    <n v="33"/>
    <s v="No"/>
    <n v="1"/>
    <n v="3"/>
    <n v="1013.5500000000001"/>
    <x v="1"/>
  </r>
  <r>
    <x v="206"/>
    <x v="2"/>
    <x v="0"/>
    <s v="Real Estate"/>
    <x v="3"/>
    <n v="1"/>
    <n v="199"/>
    <x v="2"/>
    <x v="0"/>
    <d v="2023-04-02T00:00:00"/>
    <s v="Yes"/>
    <x v="104"/>
    <x v="6"/>
    <n v="12"/>
    <n v="2"/>
    <n v="16"/>
    <s v="No"/>
    <n v="1"/>
    <n v="8"/>
    <n v="1592"/>
    <x v="0"/>
  </r>
  <r>
    <x v="207"/>
    <x v="1"/>
    <x v="0"/>
    <s v="Consulting"/>
    <x v="2"/>
    <n v="5"/>
    <n v="46.4"/>
    <x v="3"/>
    <x v="0"/>
    <d v="2025-01-19T00:00:00"/>
    <s v="Yes"/>
    <x v="105"/>
    <x v="7"/>
    <n v="8"/>
    <n v="4"/>
    <n v="21"/>
    <s v="No"/>
    <n v="1"/>
    <n v="5"/>
    <n v="232"/>
    <x v="0"/>
  </r>
  <r>
    <x v="208"/>
    <x v="1"/>
    <x v="1"/>
    <s v="Healthcare"/>
    <x v="0"/>
    <n v="46"/>
    <n v="191.04"/>
    <x v="5"/>
    <x v="1"/>
    <d v="2022-05-05T00:00:00"/>
    <s v="Yes"/>
    <x v="106"/>
    <x v="5"/>
    <n v="2"/>
    <n v="1"/>
    <n v="13"/>
    <s v="No"/>
    <n v="1"/>
    <n v="2"/>
    <n v="382.08"/>
    <x v="0"/>
  </r>
  <r>
    <x v="209"/>
    <x v="3"/>
    <x v="0"/>
    <s v="Healthcare"/>
    <x v="0"/>
    <n v="72"/>
    <n v="5813.35"/>
    <x v="5"/>
    <x v="0"/>
    <d v="2022-09-22T00:00:00"/>
    <s v="Yes"/>
    <x v="107"/>
    <x v="0"/>
    <n v="13"/>
    <n v="1"/>
    <n v="17"/>
    <s v="No"/>
    <n v="1"/>
    <n v="32"/>
    <n v="186027.2"/>
    <x v="0"/>
  </r>
  <r>
    <x v="210"/>
    <x v="3"/>
    <x v="1"/>
    <s v="Education"/>
    <x v="4"/>
    <n v="48"/>
    <n v="3414.41"/>
    <x v="4"/>
    <x v="0"/>
    <d v="2025-06-30T00:00:00"/>
    <s v="No"/>
    <x v="1"/>
    <x v="1"/>
    <n v="12"/>
    <n v="2"/>
    <n v="23"/>
    <s v="No"/>
    <n v="0"/>
    <n v="10"/>
    <n v="34144.1"/>
    <x v="0"/>
  </r>
  <r>
    <x v="211"/>
    <x v="2"/>
    <x v="1"/>
    <s v="Retail"/>
    <x v="3"/>
    <n v="1"/>
    <n v="169.15"/>
    <x v="2"/>
    <x v="0"/>
    <d v="2024-01-08T00:00:00"/>
    <s v="No"/>
    <x v="1"/>
    <x v="1"/>
    <n v="1"/>
    <n v="6"/>
    <n v="60"/>
    <s v="No"/>
    <n v="0"/>
    <n v="27"/>
    <n v="4567.05"/>
    <x v="2"/>
  </r>
  <r>
    <x v="212"/>
    <x v="2"/>
    <x v="1"/>
    <s v="Manufacturing"/>
    <x v="1"/>
    <n v="209"/>
    <n v="5446.63"/>
    <x v="2"/>
    <x v="0"/>
    <d v="2023-05-20T00:00:00"/>
    <s v="No"/>
    <x v="1"/>
    <x v="1"/>
    <n v="4"/>
    <n v="2"/>
    <n v="31"/>
    <s v="No"/>
    <n v="0"/>
    <n v="35"/>
    <n v="190632.05000000002"/>
    <x v="1"/>
  </r>
  <r>
    <x v="213"/>
    <x v="1"/>
    <x v="0"/>
    <s v="Legal"/>
    <x v="2"/>
    <n v="17"/>
    <n v="98.6"/>
    <x v="3"/>
    <x v="0"/>
    <d v="2024-09-23T00:00:00"/>
    <s v="Yes"/>
    <x v="108"/>
    <x v="6"/>
    <n v="4"/>
    <n v="4"/>
    <n v="10"/>
    <s v="No"/>
    <n v="1"/>
    <n v="10"/>
    <n v="986"/>
    <x v="0"/>
  </r>
  <r>
    <x v="214"/>
    <x v="1"/>
    <x v="0"/>
    <s v="Consulting"/>
    <x v="2"/>
    <n v="21"/>
    <n v="116"/>
    <x v="1"/>
    <x v="2"/>
    <d v="2025-01-09T00:00:00"/>
    <s v="Yes"/>
    <x v="109"/>
    <x v="3"/>
    <n v="15"/>
    <n v="5"/>
    <n v="27"/>
    <s v="No"/>
    <n v="1"/>
    <n v="5"/>
    <n v="580"/>
    <x v="0"/>
  </r>
  <r>
    <x v="215"/>
    <x v="1"/>
    <x v="0"/>
    <s v="Finance"/>
    <x v="2"/>
    <n v="15"/>
    <n v="89.9"/>
    <x v="0"/>
    <x v="0"/>
    <d v="2024-07-20T00:00:00"/>
    <s v="Yes"/>
    <x v="33"/>
    <x v="2"/>
    <n v="11"/>
    <n v="4"/>
    <n v="20"/>
    <s v="No"/>
    <n v="1"/>
    <n v="1"/>
    <n v="89.9"/>
    <x v="0"/>
  </r>
  <r>
    <x v="216"/>
    <x v="0"/>
    <x v="0"/>
    <s v="Healthcare"/>
    <x v="0"/>
    <n v="46"/>
    <n v="612.25"/>
    <x v="2"/>
    <x v="0"/>
    <d v="2024-04-05T00:00:00"/>
    <s v="No"/>
    <x v="1"/>
    <x v="1"/>
    <n v="3"/>
    <n v="7"/>
    <n v="39"/>
    <s v="No"/>
    <n v="0"/>
    <n v="24"/>
    <n v="14694"/>
    <x v="1"/>
  </r>
  <r>
    <x v="217"/>
    <x v="1"/>
    <x v="0"/>
    <s v="Finance"/>
    <x v="0"/>
    <n v="22"/>
    <n v="120.35"/>
    <x v="1"/>
    <x v="0"/>
    <d v="2022-10-15T00:00:00"/>
    <s v="Yes"/>
    <x v="110"/>
    <x v="5"/>
    <n v="3"/>
    <n v="3"/>
    <n v="27"/>
    <s v="No"/>
    <n v="1"/>
    <n v="15"/>
    <n v="1805.25"/>
    <x v="0"/>
  </r>
  <r>
    <x v="218"/>
    <x v="1"/>
    <x v="1"/>
    <s v="Manufacturing"/>
    <x v="3"/>
    <n v="8"/>
    <n v="50.53"/>
    <x v="0"/>
    <x v="0"/>
    <d v="2023-08-22T00:00:00"/>
    <s v="No"/>
    <x v="1"/>
    <x v="1"/>
    <n v="6"/>
    <n v="8"/>
    <n v="32"/>
    <s v="No"/>
    <n v="0"/>
    <n v="32"/>
    <n v="1616.96"/>
    <x v="1"/>
  </r>
  <r>
    <x v="219"/>
    <x v="0"/>
    <x v="0"/>
    <s v="Education"/>
    <x v="3"/>
    <n v="1"/>
    <n v="79"/>
    <x v="5"/>
    <x v="0"/>
    <d v="2023-09-26T00:00:00"/>
    <s v="Yes"/>
    <x v="111"/>
    <x v="0"/>
    <n v="9"/>
    <n v="5"/>
    <n v="44"/>
    <s v="No"/>
    <n v="1"/>
    <n v="19"/>
    <n v="1501"/>
    <x v="1"/>
  </r>
  <r>
    <x v="220"/>
    <x v="2"/>
    <x v="1"/>
    <s v="Real Estate"/>
    <x v="3"/>
    <n v="3"/>
    <n v="219.9"/>
    <x v="0"/>
    <x v="0"/>
    <d v="2025-06-28T00:00:00"/>
    <s v="No"/>
    <x v="1"/>
    <x v="1"/>
    <n v="7"/>
    <n v="8"/>
    <n v="43"/>
    <s v="No"/>
    <n v="0"/>
    <n v="10"/>
    <n v="2199"/>
    <x v="1"/>
  </r>
  <r>
    <x v="221"/>
    <x v="0"/>
    <x v="0"/>
    <s v="Media"/>
    <x v="0"/>
    <n v="47"/>
    <n v="624.1"/>
    <x v="3"/>
    <x v="1"/>
    <d v="2024-10-03T00:00:00"/>
    <s v="No"/>
    <x v="1"/>
    <x v="1"/>
    <n v="6"/>
    <n v="8"/>
    <n v="63"/>
    <s v="Yes"/>
    <n v="0"/>
    <n v="18"/>
    <n v="11233.800000000001"/>
    <x v="2"/>
  </r>
  <r>
    <x v="222"/>
    <x v="1"/>
    <x v="0"/>
    <s v="Manufacturing"/>
    <x v="4"/>
    <n v="68"/>
    <n v="320.45"/>
    <x v="4"/>
    <x v="0"/>
    <d v="2025-04-01T00:00:00"/>
    <s v="Yes"/>
    <x v="112"/>
    <x v="3"/>
    <n v="9"/>
    <n v="4"/>
    <n v="42"/>
    <s v="No"/>
    <n v="1"/>
    <n v="6"/>
    <n v="1922.6999999999998"/>
    <x v="1"/>
  </r>
  <r>
    <x v="223"/>
    <x v="3"/>
    <x v="1"/>
    <s v="Healthcare"/>
    <x v="0"/>
    <n v="72"/>
    <n v="4941.3500000000004"/>
    <x v="5"/>
    <x v="3"/>
    <d v="2025-02-01T00:00:00"/>
    <s v="Yes"/>
    <x v="113"/>
    <x v="7"/>
    <n v="0"/>
    <n v="1"/>
    <n v="11"/>
    <s v="No"/>
    <n v="1"/>
    <n v="0"/>
    <n v="0"/>
    <x v="0"/>
  </r>
  <r>
    <x v="224"/>
    <x v="0"/>
    <x v="1"/>
    <s v="Consulting"/>
    <x v="2"/>
    <n v="27"/>
    <n v="329.03"/>
    <x v="0"/>
    <x v="0"/>
    <d v="2025-11-17T00:00:00"/>
    <s v="No"/>
    <x v="1"/>
    <x v="1"/>
    <n v="7"/>
    <n v="4"/>
    <n v="39"/>
    <s v="No"/>
    <n v="0"/>
    <n v="5"/>
    <n v="1645.1499999999999"/>
    <x v="1"/>
  </r>
  <r>
    <x v="225"/>
    <x v="0"/>
    <x v="0"/>
    <s v="Retail"/>
    <x v="0"/>
    <n v="64"/>
    <n v="825.55"/>
    <x v="0"/>
    <x v="1"/>
    <d v="2025-04-18T00:00:00"/>
    <s v="No"/>
    <x v="1"/>
    <x v="1"/>
    <n v="10"/>
    <n v="4"/>
    <n v="87"/>
    <s v="No"/>
    <n v="0"/>
    <n v="12"/>
    <n v="9906.5999999999985"/>
    <x v="2"/>
  </r>
  <r>
    <x v="226"/>
    <x v="1"/>
    <x v="0"/>
    <s v="Retail"/>
    <x v="3"/>
    <n v="6"/>
    <n v="50.75"/>
    <x v="3"/>
    <x v="1"/>
    <d v="2024-09-10T00:00:00"/>
    <s v="Yes"/>
    <x v="114"/>
    <x v="7"/>
    <n v="5"/>
    <n v="3"/>
    <n v="39"/>
    <s v="No"/>
    <n v="1"/>
    <n v="1"/>
    <n v="50.75"/>
    <x v="1"/>
  </r>
  <r>
    <x v="227"/>
    <x v="1"/>
    <x v="1"/>
    <s v="Consulting"/>
    <x v="2"/>
    <n v="10"/>
    <n v="57.93"/>
    <x v="0"/>
    <x v="1"/>
    <d v="2024-01-12T00:00:00"/>
    <s v="No"/>
    <x v="1"/>
    <x v="1"/>
    <n v="8"/>
    <n v="6"/>
    <n v="46"/>
    <s v="Yes"/>
    <n v="0"/>
    <n v="27"/>
    <n v="1564.11"/>
    <x v="1"/>
  </r>
  <r>
    <x v="228"/>
    <x v="3"/>
    <x v="0"/>
    <s v="Manufacturing"/>
    <x v="4"/>
    <n v="118"/>
    <n v="9256.4500000000007"/>
    <x v="0"/>
    <x v="1"/>
    <d v="2024-04-06T00:00:00"/>
    <s v="No"/>
    <x v="1"/>
    <x v="1"/>
    <n v="0"/>
    <n v="10"/>
    <n v="85"/>
    <s v="No"/>
    <n v="0"/>
    <n v="24"/>
    <n v="222154.80000000002"/>
    <x v="2"/>
  </r>
  <r>
    <x v="229"/>
    <x v="1"/>
    <x v="0"/>
    <s v="Finance"/>
    <x v="2"/>
    <n v="24"/>
    <n v="129.05000000000001"/>
    <x v="3"/>
    <x v="0"/>
    <d v="2023-06-10T00:00:00"/>
    <s v="Yes"/>
    <x v="115"/>
    <x v="3"/>
    <n v="13"/>
    <n v="1"/>
    <n v="31"/>
    <s v="No"/>
    <n v="1"/>
    <n v="4"/>
    <n v="516.20000000000005"/>
    <x v="1"/>
  </r>
  <r>
    <x v="230"/>
    <x v="1"/>
    <x v="0"/>
    <s v="Education"/>
    <x v="0"/>
    <n v="33"/>
    <n v="168.2"/>
    <x v="1"/>
    <x v="0"/>
    <d v="2023-11-16T00:00:00"/>
    <s v="No"/>
    <x v="1"/>
    <x v="1"/>
    <n v="4"/>
    <n v="9"/>
    <n v="52"/>
    <s v="No"/>
    <n v="0"/>
    <n v="29"/>
    <n v="4877.7999999999993"/>
    <x v="1"/>
  </r>
  <r>
    <x v="231"/>
    <x v="0"/>
    <x v="0"/>
    <s v="Retail"/>
    <x v="0"/>
    <n v="44"/>
    <n v="588.54999999999995"/>
    <x v="0"/>
    <x v="1"/>
    <d v="2025-06-09T00:00:00"/>
    <s v="No"/>
    <x v="1"/>
    <x v="1"/>
    <n v="9"/>
    <n v="5"/>
    <n v="71"/>
    <s v="No"/>
    <n v="0"/>
    <n v="10"/>
    <n v="5885.5"/>
    <x v="2"/>
  </r>
  <r>
    <x v="232"/>
    <x v="0"/>
    <x v="0"/>
    <s v="Real Estate"/>
    <x v="4"/>
    <n v="112"/>
    <n v="1394.35"/>
    <x v="2"/>
    <x v="0"/>
    <d v="2025-02-07T00:00:00"/>
    <s v="No"/>
    <x v="1"/>
    <x v="1"/>
    <n v="0"/>
    <n v="8"/>
    <n v="17"/>
    <s v="No"/>
    <n v="0"/>
    <n v="14"/>
    <n v="19520.899999999998"/>
    <x v="0"/>
  </r>
  <r>
    <x v="233"/>
    <x v="2"/>
    <x v="0"/>
    <s v="Consulting"/>
    <x v="0"/>
    <n v="55"/>
    <n v="1810.9"/>
    <x v="4"/>
    <x v="0"/>
    <d v="2024-04-03T00:00:00"/>
    <s v="Yes"/>
    <x v="116"/>
    <x v="2"/>
    <n v="2"/>
    <n v="2"/>
    <n v="15"/>
    <s v="No"/>
    <n v="1"/>
    <n v="8"/>
    <n v="14487.2"/>
    <x v="0"/>
  </r>
  <r>
    <x v="234"/>
    <x v="2"/>
    <x v="1"/>
    <s v="Consulting"/>
    <x v="2"/>
    <n v="15"/>
    <n v="524.37"/>
    <x v="4"/>
    <x v="0"/>
    <d v="2024-05-09T00:00:00"/>
    <s v="No"/>
    <x v="1"/>
    <x v="1"/>
    <n v="6"/>
    <n v="9"/>
    <n v="23"/>
    <s v="Yes"/>
    <n v="0"/>
    <n v="23"/>
    <n v="12060.51"/>
    <x v="0"/>
  </r>
  <r>
    <x v="235"/>
    <x v="1"/>
    <x v="0"/>
    <s v="Media"/>
    <x v="4"/>
    <n v="45"/>
    <n v="220.4"/>
    <x v="4"/>
    <x v="1"/>
    <d v="2023-07-10T00:00:00"/>
    <s v="Yes"/>
    <x v="117"/>
    <x v="5"/>
    <n v="7"/>
    <n v="3"/>
    <n v="49"/>
    <s v="No"/>
    <n v="1"/>
    <n v="0"/>
    <n v="0"/>
    <x v="1"/>
  </r>
  <r>
    <x v="236"/>
    <x v="0"/>
    <x v="0"/>
    <s v="Consulting"/>
    <x v="1"/>
    <n v="109"/>
    <n v="1358.8"/>
    <x v="1"/>
    <x v="1"/>
    <d v="2022-08-15T00:00:00"/>
    <s v="No"/>
    <x v="1"/>
    <x v="1"/>
    <n v="0"/>
    <n v="3"/>
    <n v="30"/>
    <s v="No"/>
    <n v="0"/>
    <n v="44"/>
    <n v="59787.199999999997"/>
    <x v="1"/>
  </r>
  <r>
    <x v="237"/>
    <x v="2"/>
    <x v="0"/>
    <s v="Real Estate"/>
    <x v="0"/>
    <n v="29"/>
    <n v="1034.8"/>
    <x v="3"/>
    <x v="0"/>
    <d v="2023-04-29T00:00:00"/>
    <s v="No"/>
    <x v="1"/>
    <x v="1"/>
    <n v="12"/>
    <n v="1"/>
    <n v="86"/>
    <s v="No"/>
    <n v="0"/>
    <n v="36"/>
    <n v="37252.799999999996"/>
    <x v="2"/>
  </r>
  <r>
    <x v="238"/>
    <x v="2"/>
    <x v="0"/>
    <s v="Media"/>
    <x v="2"/>
    <n v="34"/>
    <n v="1184.05"/>
    <x v="2"/>
    <x v="3"/>
    <d v="2022-04-16T00:00:00"/>
    <s v="Yes"/>
    <x v="118"/>
    <x v="7"/>
    <n v="8"/>
    <n v="3"/>
    <n v="24"/>
    <s v="No"/>
    <n v="1"/>
    <n v="14"/>
    <n v="16576.7"/>
    <x v="0"/>
  </r>
  <r>
    <x v="239"/>
    <x v="1"/>
    <x v="1"/>
    <s v="Legal"/>
    <x v="3"/>
    <n v="4"/>
    <n v="35.74"/>
    <x v="5"/>
    <x v="2"/>
    <d v="2025-02-15T00:00:00"/>
    <s v="No"/>
    <x v="1"/>
    <x v="1"/>
    <n v="6"/>
    <n v="2"/>
    <n v="23"/>
    <s v="No"/>
    <n v="0"/>
    <n v="14"/>
    <n v="500.36"/>
    <x v="0"/>
  </r>
  <r>
    <x v="240"/>
    <x v="1"/>
    <x v="0"/>
    <s v="Technology"/>
    <x v="0"/>
    <n v="66"/>
    <n v="311.75"/>
    <x v="3"/>
    <x v="2"/>
    <d v="2023-09-09T00:00:00"/>
    <s v="Yes"/>
    <x v="119"/>
    <x v="4"/>
    <n v="1"/>
    <n v="4"/>
    <n v="15"/>
    <s v="No"/>
    <n v="1"/>
    <n v="1"/>
    <n v="311.75"/>
    <x v="0"/>
  </r>
  <r>
    <x v="241"/>
    <x v="2"/>
    <x v="1"/>
    <s v="Manufacturing"/>
    <x v="2"/>
    <n v="10"/>
    <n v="397.5"/>
    <x v="4"/>
    <x v="2"/>
    <d v="2023-11-02T00:00:00"/>
    <s v="No"/>
    <x v="1"/>
    <x v="1"/>
    <n v="1"/>
    <n v="8"/>
    <n v="38"/>
    <s v="No"/>
    <n v="0"/>
    <n v="29"/>
    <n v="11527.5"/>
    <x v="1"/>
  </r>
  <r>
    <x v="242"/>
    <x v="3"/>
    <x v="0"/>
    <s v="Retail"/>
    <x v="4"/>
    <n v="122"/>
    <n v="9555.85"/>
    <x v="0"/>
    <x v="0"/>
    <d v="2024-10-07T00:00:00"/>
    <s v="No"/>
    <x v="1"/>
    <x v="1"/>
    <n v="4"/>
    <n v="7"/>
    <n v="94"/>
    <s v="Yes"/>
    <n v="0"/>
    <n v="18"/>
    <n v="172005.30000000002"/>
    <x v="2"/>
  </r>
  <r>
    <x v="243"/>
    <x v="1"/>
    <x v="0"/>
    <s v="Technology"/>
    <x v="0"/>
    <n v="23"/>
    <n v="124.7"/>
    <x v="4"/>
    <x v="1"/>
    <d v="2025-04-21T00:00:00"/>
    <s v="Yes"/>
    <x v="120"/>
    <x v="2"/>
    <n v="7"/>
    <n v="6"/>
    <n v="18"/>
    <s v="No"/>
    <n v="1"/>
    <n v="0"/>
    <n v="0"/>
    <x v="0"/>
  </r>
  <r>
    <x v="244"/>
    <x v="2"/>
    <x v="1"/>
    <s v="Manufacturing"/>
    <x v="3"/>
    <n v="1"/>
    <n v="169.15"/>
    <x v="0"/>
    <x v="0"/>
    <d v="2025-11-28T00:00:00"/>
    <s v="No"/>
    <x v="1"/>
    <x v="1"/>
    <n v="5"/>
    <n v="3"/>
    <n v="39"/>
    <s v="No"/>
    <n v="0"/>
    <n v="5"/>
    <n v="845.75"/>
    <x v="1"/>
  </r>
  <r>
    <x v="245"/>
    <x v="0"/>
    <x v="0"/>
    <s v="Consulting"/>
    <x v="3"/>
    <n v="6"/>
    <n v="138.25"/>
    <x v="3"/>
    <x v="1"/>
    <d v="2024-04-15T00:00:00"/>
    <s v="Yes"/>
    <x v="121"/>
    <x v="7"/>
    <n v="5"/>
    <n v="4"/>
    <n v="14"/>
    <s v="No"/>
    <n v="1"/>
    <n v="2"/>
    <n v="276.5"/>
    <x v="0"/>
  </r>
  <r>
    <x v="246"/>
    <x v="2"/>
    <x v="1"/>
    <s v="Media"/>
    <x v="1"/>
    <n v="251"/>
    <n v="6512.27"/>
    <x v="5"/>
    <x v="3"/>
    <d v="2025-11-07T00:00:00"/>
    <s v="No"/>
    <x v="1"/>
    <x v="1"/>
    <n v="10"/>
    <n v="6"/>
    <n v="38"/>
    <s v="No"/>
    <n v="0"/>
    <n v="5"/>
    <n v="32561.350000000002"/>
    <x v="1"/>
  </r>
  <r>
    <x v="247"/>
    <x v="1"/>
    <x v="1"/>
    <s v="Healthcare"/>
    <x v="4"/>
    <n v="111"/>
    <n v="431.37"/>
    <x v="1"/>
    <x v="1"/>
    <d v="2024-03-22T00:00:00"/>
    <s v="Yes"/>
    <x v="122"/>
    <x v="5"/>
    <n v="5"/>
    <n v="1"/>
    <n v="36"/>
    <s v="No"/>
    <n v="1"/>
    <n v="7"/>
    <n v="3019.59"/>
    <x v="1"/>
  </r>
  <r>
    <x v="248"/>
    <x v="0"/>
    <x v="0"/>
    <s v="Finance"/>
    <x v="3"/>
    <n v="6"/>
    <n v="138.25"/>
    <x v="1"/>
    <x v="0"/>
    <d v="2025-04-18T00:00:00"/>
    <s v="Yes"/>
    <x v="123"/>
    <x v="2"/>
    <n v="5"/>
    <n v="3"/>
    <n v="36"/>
    <s v="No"/>
    <n v="1"/>
    <n v="5"/>
    <n v="691.25"/>
    <x v="1"/>
  </r>
  <r>
    <x v="249"/>
    <x v="2"/>
    <x v="0"/>
    <s v="Education"/>
    <x v="3"/>
    <n v="1"/>
    <n v="199"/>
    <x v="3"/>
    <x v="0"/>
    <d v="2025-10-14T00:00:00"/>
    <s v="No"/>
    <x v="1"/>
    <x v="1"/>
    <n v="1"/>
    <n v="10"/>
    <n v="69"/>
    <s v="No"/>
    <n v="0"/>
    <n v="6"/>
    <n v="1194"/>
    <x v="2"/>
  </r>
  <r>
    <x v="250"/>
    <x v="1"/>
    <x v="1"/>
    <s v="Legal"/>
    <x v="2"/>
    <n v="31"/>
    <n v="135.57"/>
    <x v="2"/>
    <x v="1"/>
    <d v="2022-09-28T00:00:00"/>
    <s v="Yes"/>
    <x v="124"/>
    <x v="0"/>
    <n v="0"/>
    <n v="6"/>
    <n v="40"/>
    <s v="No"/>
    <n v="1"/>
    <n v="27"/>
    <n v="3660.39"/>
    <x v="1"/>
  </r>
  <r>
    <x v="251"/>
    <x v="2"/>
    <x v="1"/>
    <s v="Legal"/>
    <x v="2"/>
    <n v="19"/>
    <n v="625.86"/>
    <x v="5"/>
    <x v="0"/>
    <d v="2024-05-12T00:00:00"/>
    <s v="Yes"/>
    <x v="112"/>
    <x v="2"/>
    <n v="15"/>
    <n v="2"/>
    <n v="47"/>
    <s v="No"/>
    <n v="1"/>
    <n v="17"/>
    <n v="10639.62"/>
    <x v="1"/>
  </r>
  <r>
    <x v="252"/>
    <x v="0"/>
    <x v="0"/>
    <s v="Legal"/>
    <x v="2"/>
    <n v="32"/>
    <n v="446.35"/>
    <x v="0"/>
    <x v="0"/>
    <d v="2022-11-29T00:00:00"/>
    <s v="Yes"/>
    <x v="125"/>
    <x v="5"/>
    <n v="7"/>
    <n v="1"/>
    <n v="20"/>
    <s v="No"/>
    <n v="1"/>
    <n v="13"/>
    <n v="5802.55"/>
    <x v="0"/>
  </r>
  <r>
    <x v="253"/>
    <x v="1"/>
    <x v="1"/>
    <s v="Media"/>
    <x v="2"/>
    <n v="12"/>
    <n v="65.319999999999993"/>
    <x v="0"/>
    <x v="1"/>
    <d v="2025-05-18T00:00:00"/>
    <s v="No"/>
    <x v="1"/>
    <x v="1"/>
    <n v="0"/>
    <n v="9"/>
    <n v="50"/>
    <s v="Yes"/>
    <n v="0"/>
    <n v="11"/>
    <n v="718.52"/>
    <x v="1"/>
  </r>
  <r>
    <x v="254"/>
    <x v="2"/>
    <x v="0"/>
    <s v="Real Estate"/>
    <x v="3"/>
    <n v="1"/>
    <n v="199"/>
    <x v="0"/>
    <x v="1"/>
    <d v="2022-03-25T00:00:00"/>
    <s v="Yes"/>
    <x v="126"/>
    <x v="4"/>
    <n v="14"/>
    <n v="5"/>
    <n v="28"/>
    <s v="No"/>
    <n v="1"/>
    <n v="0"/>
    <n v="0"/>
    <x v="0"/>
  </r>
  <r>
    <x v="255"/>
    <x v="2"/>
    <x v="0"/>
    <s v="Education"/>
    <x v="2"/>
    <n v="7"/>
    <n v="378.1"/>
    <x v="0"/>
    <x v="0"/>
    <d v="2023-03-07T00:00:00"/>
    <s v="No"/>
    <x v="1"/>
    <x v="1"/>
    <n v="10"/>
    <n v="10"/>
    <n v="58"/>
    <s v="Yes"/>
    <n v="0"/>
    <n v="37"/>
    <n v="13989.7"/>
    <x v="1"/>
  </r>
  <r>
    <x v="256"/>
    <x v="1"/>
    <x v="1"/>
    <s v="Retail"/>
    <x v="1"/>
    <n v="285"/>
    <n v="1074.74"/>
    <x v="5"/>
    <x v="0"/>
    <d v="2024-09-27T00:00:00"/>
    <s v="No"/>
    <x v="1"/>
    <x v="1"/>
    <n v="2"/>
    <n v="9"/>
    <n v="91"/>
    <s v="Yes"/>
    <n v="0"/>
    <n v="19"/>
    <n v="20420.060000000001"/>
    <x v="2"/>
  </r>
  <r>
    <x v="257"/>
    <x v="1"/>
    <x v="1"/>
    <s v="Real Estate"/>
    <x v="0"/>
    <n v="31"/>
    <n v="135.57"/>
    <x v="3"/>
    <x v="1"/>
    <d v="2022-04-19T00:00:00"/>
    <s v="Yes"/>
    <x v="127"/>
    <x v="6"/>
    <n v="4"/>
    <n v="5"/>
    <n v="36"/>
    <s v="No"/>
    <n v="1"/>
    <n v="23"/>
    <n v="3118.1099999999997"/>
    <x v="1"/>
  </r>
  <r>
    <x v="258"/>
    <x v="0"/>
    <x v="1"/>
    <s v="Media"/>
    <x v="4"/>
    <n v="143"/>
    <n v="1497.45"/>
    <x v="2"/>
    <x v="2"/>
    <d v="2025-07-02T00:00:00"/>
    <s v="No"/>
    <x v="1"/>
    <x v="1"/>
    <n v="3"/>
    <n v="1"/>
    <n v="84"/>
    <s v="No"/>
    <n v="0"/>
    <n v="9"/>
    <n v="13477.050000000001"/>
    <x v="2"/>
  </r>
  <r>
    <x v="259"/>
    <x v="0"/>
    <x v="0"/>
    <s v="Real Estate"/>
    <x v="1"/>
    <n v="193"/>
    <n v="2354.1999999999998"/>
    <x v="0"/>
    <x v="0"/>
    <d v="2023-07-30T00:00:00"/>
    <s v="Yes"/>
    <x v="128"/>
    <x v="3"/>
    <n v="3"/>
    <n v="3"/>
    <n v="39"/>
    <s v="No"/>
    <n v="1"/>
    <n v="18"/>
    <n v="42375.6"/>
    <x v="1"/>
  </r>
  <r>
    <x v="260"/>
    <x v="0"/>
    <x v="1"/>
    <s v="Legal"/>
    <x v="3"/>
    <n v="5"/>
    <n v="107.44"/>
    <x v="0"/>
    <x v="0"/>
    <d v="2024-09-08T00:00:00"/>
    <s v="No"/>
    <x v="1"/>
    <x v="1"/>
    <n v="1"/>
    <n v="9"/>
    <n v="95"/>
    <s v="No"/>
    <n v="0"/>
    <n v="19"/>
    <n v="2041.36"/>
    <x v="2"/>
  </r>
  <r>
    <x v="261"/>
    <x v="2"/>
    <x v="0"/>
    <s v="Manufacturing"/>
    <x v="3"/>
    <n v="8"/>
    <n v="407.95"/>
    <x v="2"/>
    <x v="0"/>
    <d v="2024-02-05T00:00:00"/>
    <s v="Yes"/>
    <x v="129"/>
    <x v="4"/>
    <n v="14"/>
    <n v="6"/>
    <n v="19"/>
    <s v="No"/>
    <n v="1"/>
    <n v="15"/>
    <n v="6119.25"/>
    <x v="0"/>
  </r>
  <r>
    <x v="262"/>
    <x v="2"/>
    <x v="1"/>
    <s v="Healthcare"/>
    <x v="2"/>
    <n v="8"/>
    <n v="346.76"/>
    <x v="2"/>
    <x v="1"/>
    <d v="2025-08-08T00:00:00"/>
    <s v="No"/>
    <x v="1"/>
    <x v="1"/>
    <n v="3"/>
    <n v="6"/>
    <n v="43"/>
    <s v="No"/>
    <n v="0"/>
    <n v="8"/>
    <n v="2774.08"/>
    <x v="1"/>
  </r>
  <r>
    <x v="263"/>
    <x v="1"/>
    <x v="0"/>
    <s v="Media"/>
    <x v="0"/>
    <n v="52"/>
    <n v="250.85"/>
    <x v="0"/>
    <x v="0"/>
    <d v="2025-02-14T00:00:00"/>
    <s v="No"/>
    <x v="1"/>
    <x v="1"/>
    <n v="2"/>
    <n v="7"/>
    <n v="42"/>
    <s v="No"/>
    <n v="0"/>
    <n v="14"/>
    <n v="3511.9"/>
    <x v="1"/>
  </r>
  <r>
    <x v="264"/>
    <x v="0"/>
    <x v="0"/>
    <s v="Manufacturing"/>
    <x v="0"/>
    <n v="45"/>
    <n v="600.4"/>
    <x v="4"/>
    <x v="0"/>
    <d v="2025-03-22T00:00:00"/>
    <s v="No"/>
    <x v="1"/>
    <x v="1"/>
    <n v="11"/>
    <n v="1"/>
    <n v="56"/>
    <s v="No"/>
    <n v="0"/>
    <n v="13"/>
    <n v="7805.2"/>
    <x v="1"/>
  </r>
  <r>
    <x v="265"/>
    <x v="1"/>
    <x v="1"/>
    <s v="Retail"/>
    <x v="2"/>
    <n v="22"/>
    <n v="102.3"/>
    <x v="3"/>
    <x v="0"/>
    <d v="2022-04-14T00:00:00"/>
    <s v="Yes"/>
    <x v="130"/>
    <x v="4"/>
    <n v="5"/>
    <n v="4"/>
    <n v="20"/>
    <s v="No"/>
    <n v="1"/>
    <n v="2"/>
    <n v="204.6"/>
    <x v="0"/>
  </r>
  <r>
    <x v="266"/>
    <x v="3"/>
    <x v="0"/>
    <s v="Consulting"/>
    <x v="3"/>
    <n v="3"/>
    <n v="648.70000000000005"/>
    <x v="4"/>
    <x v="2"/>
    <d v="2023-05-07T00:00:00"/>
    <s v="No"/>
    <x v="1"/>
    <x v="1"/>
    <n v="3"/>
    <n v="1"/>
    <n v="41"/>
    <s v="No"/>
    <n v="0"/>
    <n v="35"/>
    <n v="22704.5"/>
    <x v="1"/>
  </r>
  <r>
    <x v="267"/>
    <x v="0"/>
    <x v="1"/>
    <s v="Retail"/>
    <x v="4"/>
    <n v="49"/>
    <n v="550.63"/>
    <x v="0"/>
    <x v="0"/>
    <d v="2022-09-26T00:00:00"/>
    <s v="No"/>
    <x v="1"/>
    <x v="1"/>
    <n v="12"/>
    <n v="7"/>
    <n v="46"/>
    <s v="No"/>
    <n v="0"/>
    <n v="43"/>
    <n v="23677.09"/>
    <x v="1"/>
  </r>
  <r>
    <x v="268"/>
    <x v="0"/>
    <x v="0"/>
    <s v="Consulting"/>
    <x v="3"/>
    <n v="3"/>
    <n v="102.7"/>
    <x v="5"/>
    <x v="2"/>
    <d v="2025-04-03T00:00:00"/>
    <s v="Yes"/>
    <x v="131"/>
    <x v="6"/>
    <n v="3"/>
    <n v="2"/>
    <n v="20"/>
    <s v="No"/>
    <n v="1"/>
    <n v="8"/>
    <n v="821.6"/>
    <x v="0"/>
  </r>
  <r>
    <x v="269"/>
    <x v="0"/>
    <x v="0"/>
    <s v="Media"/>
    <x v="0"/>
    <n v="66"/>
    <n v="849.25"/>
    <x v="3"/>
    <x v="0"/>
    <d v="2023-02-25T00:00:00"/>
    <s v="Yes"/>
    <x v="132"/>
    <x v="0"/>
    <n v="6"/>
    <n v="2"/>
    <n v="37"/>
    <s v="No"/>
    <n v="1"/>
    <n v="29"/>
    <n v="24628.25"/>
    <x v="1"/>
  </r>
  <r>
    <x v="270"/>
    <x v="0"/>
    <x v="0"/>
    <s v="Technology"/>
    <x v="2"/>
    <n v="13"/>
    <n v="221.2"/>
    <x v="0"/>
    <x v="0"/>
    <d v="2025-02-24T00:00:00"/>
    <s v="Yes"/>
    <x v="133"/>
    <x v="5"/>
    <n v="6"/>
    <n v="4"/>
    <n v="19"/>
    <s v="No"/>
    <n v="1"/>
    <n v="0"/>
    <n v="0"/>
    <x v="0"/>
  </r>
  <r>
    <x v="271"/>
    <x v="1"/>
    <x v="0"/>
    <s v="Legal"/>
    <x v="4"/>
    <n v="103"/>
    <n v="472.7"/>
    <x v="2"/>
    <x v="1"/>
    <d v="2024-02-21T00:00:00"/>
    <s v="Yes"/>
    <x v="134"/>
    <x v="4"/>
    <n v="11"/>
    <n v="1"/>
    <n v="14"/>
    <s v="No"/>
    <n v="1"/>
    <n v="3"/>
    <n v="1418.1"/>
    <x v="0"/>
  </r>
  <r>
    <x v="272"/>
    <x v="0"/>
    <x v="1"/>
    <s v="Manufacturing"/>
    <x v="3"/>
    <n v="6"/>
    <n v="117.51"/>
    <x v="0"/>
    <x v="3"/>
    <d v="2025-12-31T00:00:00"/>
    <s v="No"/>
    <x v="1"/>
    <x v="1"/>
    <n v="2"/>
    <n v="9"/>
    <n v="20"/>
    <s v="No"/>
    <n v="0"/>
    <n v="4"/>
    <n v="470.04"/>
    <x v="0"/>
  </r>
  <r>
    <x v="273"/>
    <x v="0"/>
    <x v="1"/>
    <s v="Finance"/>
    <x v="0"/>
    <n v="41"/>
    <n v="470.05"/>
    <x v="2"/>
    <x v="1"/>
    <d v="2025-08-13T00:00:00"/>
    <s v="No"/>
    <x v="1"/>
    <x v="1"/>
    <n v="2"/>
    <n v="8"/>
    <n v="37"/>
    <s v="No"/>
    <n v="0"/>
    <n v="8"/>
    <n v="3760.4"/>
    <x v="1"/>
  </r>
  <r>
    <x v="274"/>
    <x v="2"/>
    <x v="0"/>
    <s v="Education"/>
    <x v="3"/>
    <n v="6"/>
    <n v="348.25"/>
    <x v="0"/>
    <x v="3"/>
    <d v="2024-10-01T00:00:00"/>
    <s v="No"/>
    <x v="1"/>
    <x v="1"/>
    <n v="7"/>
    <n v="7"/>
    <n v="30"/>
    <s v="No"/>
    <n v="0"/>
    <n v="19"/>
    <n v="6616.75"/>
    <x v="1"/>
  </r>
  <r>
    <x v="275"/>
    <x v="1"/>
    <x v="0"/>
    <s v="Legal"/>
    <x v="4"/>
    <n v="50"/>
    <n v="242.15"/>
    <x v="3"/>
    <x v="2"/>
    <d v="2024-01-28T00:00:00"/>
    <s v="No"/>
    <x v="1"/>
    <x v="1"/>
    <n v="0"/>
    <n v="3"/>
    <n v="40"/>
    <s v="Yes"/>
    <n v="0"/>
    <n v="27"/>
    <n v="6538.05"/>
    <x v="1"/>
  </r>
  <r>
    <x v="276"/>
    <x v="3"/>
    <x v="0"/>
    <s v="Education"/>
    <x v="2"/>
    <n v="31"/>
    <n v="2744.5"/>
    <x v="3"/>
    <x v="1"/>
    <d v="2023-02-02T00:00:00"/>
    <s v="Yes"/>
    <x v="135"/>
    <x v="3"/>
    <n v="3"/>
    <n v="1"/>
    <n v="12"/>
    <s v="No"/>
    <n v="1"/>
    <n v="3"/>
    <n v="8233.5"/>
    <x v="0"/>
  </r>
  <r>
    <x v="277"/>
    <x v="2"/>
    <x v="0"/>
    <s v="Finance"/>
    <x v="0"/>
    <n v="48"/>
    <n v="1601.95"/>
    <x v="0"/>
    <x v="1"/>
    <d v="2025-10-17T00:00:00"/>
    <s v="No"/>
    <x v="1"/>
    <x v="1"/>
    <n v="7"/>
    <n v="4"/>
    <n v="52"/>
    <s v="No"/>
    <n v="0"/>
    <n v="6"/>
    <n v="9611.7000000000007"/>
    <x v="1"/>
  </r>
  <r>
    <x v="278"/>
    <x v="1"/>
    <x v="0"/>
    <s v="Finance"/>
    <x v="3"/>
    <n v="7"/>
    <n v="55.1"/>
    <x v="0"/>
    <x v="0"/>
    <d v="2025-09-09T00:00:00"/>
    <s v="No"/>
    <x v="1"/>
    <x v="1"/>
    <n v="4"/>
    <n v="3"/>
    <n v="93"/>
    <s v="No"/>
    <n v="0"/>
    <n v="7"/>
    <n v="385.7"/>
    <x v="2"/>
  </r>
  <r>
    <x v="279"/>
    <x v="1"/>
    <x v="0"/>
    <s v="Healthcare"/>
    <x v="3"/>
    <n v="3"/>
    <n v="37.700000000000003"/>
    <x v="1"/>
    <x v="1"/>
    <d v="2025-05-01T00:00:00"/>
    <s v="No"/>
    <x v="1"/>
    <x v="1"/>
    <n v="2"/>
    <n v="6"/>
    <n v="66"/>
    <s v="No"/>
    <n v="0"/>
    <n v="12"/>
    <n v="452.40000000000003"/>
    <x v="2"/>
  </r>
  <r>
    <x v="280"/>
    <x v="2"/>
    <x v="1"/>
    <s v="Legal"/>
    <x v="2"/>
    <n v="25"/>
    <n v="778.09"/>
    <x v="2"/>
    <x v="0"/>
    <d v="2025-06-11T00:00:00"/>
    <s v="No"/>
    <x v="1"/>
    <x v="1"/>
    <n v="4"/>
    <n v="3"/>
    <n v="90"/>
    <s v="No"/>
    <n v="0"/>
    <n v="10"/>
    <n v="7780.9000000000005"/>
    <x v="2"/>
  </r>
  <r>
    <x v="281"/>
    <x v="0"/>
    <x v="0"/>
    <s v="Finance"/>
    <x v="2"/>
    <n v="15"/>
    <n v="244.9"/>
    <x v="2"/>
    <x v="0"/>
    <d v="2025-05-03T00:00:00"/>
    <s v="No"/>
    <x v="1"/>
    <x v="1"/>
    <n v="1"/>
    <n v="6"/>
    <n v="86"/>
    <s v="Yes"/>
    <n v="0"/>
    <n v="11"/>
    <n v="2693.9"/>
    <x v="2"/>
  </r>
  <r>
    <x v="282"/>
    <x v="0"/>
    <x v="0"/>
    <s v="Manufacturing"/>
    <x v="0"/>
    <n v="18"/>
    <n v="280.45"/>
    <x v="4"/>
    <x v="0"/>
    <d v="2022-11-22T00:00:00"/>
    <s v="Yes"/>
    <x v="136"/>
    <x v="3"/>
    <n v="6"/>
    <n v="2"/>
    <n v="11"/>
    <s v="No"/>
    <n v="1"/>
    <n v="34"/>
    <n v="9535.2999999999993"/>
    <x v="0"/>
  </r>
  <r>
    <x v="283"/>
    <x v="1"/>
    <x v="0"/>
    <s v="Manufacturing"/>
    <x v="4"/>
    <n v="82"/>
    <n v="381.35"/>
    <x v="0"/>
    <x v="0"/>
    <d v="2024-11-10T00:00:00"/>
    <s v="No"/>
    <x v="1"/>
    <x v="1"/>
    <n v="10"/>
    <n v="4"/>
    <n v="84"/>
    <s v="Yes"/>
    <n v="0"/>
    <n v="17"/>
    <n v="6482.9500000000007"/>
    <x v="2"/>
  </r>
  <r>
    <x v="284"/>
    <x v="1"/>
    <x v="0"/>
    <s v="Healthcare"/>
    <x v="4"/>
    <n v="111"/>
    <n v="507.5"/>
    <x v="5"/>
    <x v="0"/>
    <d v="2025-12-13T00:00:00"/>
    <s v="No"/>
    <x v="1"/>
    <x v="1"/>
    <n v="9"/>
    <n v="7"/>
    <n v="73"/>
    <s v="No"/>
    <n v="0"/>
    <n v="4"/>
    <n v="2030"/>
    <x v="2"/>
  </r>
  <r>
    <x v="285"/>
    <x v="2"/>
    <x v="1"/>
    <s v="Finance"/>
    <x v="3"/>
    <n v="2"/>
    <n v="194.52"/>
    <x v="0"/>
    <x v="3"/>
    <d v="2023-07-02T00:00:00"/>
    <s v="Yes"/>
    <x v="137"/>
    <x v="4"/>
    <n v="1"/>
    <n v="2"/>
    <n v="39"/>
    <s v="No"/>
    <n v="1"/>
    <n v="2"/>
    <n v="389.04"/>
    <x v="1"/>
  </r>
  <r>
    <x v="286"/>
    <x v="3"/>
    <x v="0"/>
    <s v="Manufacturing"/>
    <x v="0"/>
    <n v="71"/>
    <n v="5738.5"/>
    <x v="3"/>
    <x v="0"/>
    <d v="2023-01-13T00:00:00"/>
    <s v="No"/>
    <x v="1"/>
    <x v="1"/>
    <n v="9"/>
    <n v="10"/>
    <n v="36"/>
    <s v="No"/>
    <n v="0"/>
    <n v="39"/>
    <n v="223801.5"/>
    <x v="1"/>
  </r>
  <r>
    <x v="287"/>
    <x v="2"/>
    <x v="0"/>
    <s v="Technology"/>
    <x v="2"/>
    <n v="19"/>
    <n v="736.3"/>
    <x v="0"/>
    <x v="0"/>
    <d v="2025-03-22T00:00:00"/>
    <s v="No"/>
    <x v="1"/>
    <x v="1"/>
    <n v="12"/>
    <n v="9"/>
    <n v="47"/>
    <s v="Yes"/>
    <n v="0"/>
    <n v="13"/>
    <n v="9571.9"/>
    <x v="1"/>
  </r>
  <r>
    <x v="288"/>
    <x v="0"/>
    <x v="0"/>
    <s v="Manufacturing"/>
    <x v="0"/>
    <n v="51"/>
    <n v="671.5"/>
    <x v="0"/>
    <x v="0"/>
    <d v="2022-01-06T00:00:00"/>
    <s v="No"/>
    <x v="1"/>
    <x v="1"/>
    <n v="3"/>
    <n v="7"/>
    <n v="75"/>
    <s v="No"/>
    <n v="0"/>
    <n v="51"/>
    <n v="34246.5"/>
    <x v="2"/>
  </r>
  <r>
    <x v="289"/>
    <x v="2"/>
    <x v="1"/>
    <s v="Consulting"/>
    <x v="4"/>
    <n v="55"/>
    <n v="1539.27"/>
    <x v="4"/>
    <x v="3"/>
    <d v="2022-07-29T00:00:00"/>
    <s v="Yes"/>
    <x v="138"/>
    <x v="2"/>
    <n v="8"/>
    <n v="2"/>
    <n v="34"/>
    <s v="No"/>
    <n v="1"/>
    <n v="22"/>
    <n v="33863.94"/>
    <x v="1"/>
  </r>
  <r>
    <x v="290"/>
    <x v="3"/>
    <x v="1"/>
    <s v="Finance"/>
    <x v="0"/>
    <n v="16"/>
    <n v="1378.49"/>
    <x v="5"/>
    <x v="0"/>
    <d v="2023-01-12T00:00:00"/>
    <s v="No"/>
    <x v="1"/>
    <x v="1"/>
    <n v="9"/>
    <n v="6"/>
    <n v="31"/>
    <s v="No"/>
    <n v="0"/>
    <n v="39"/>
    <n v="53761.11"/>
    <x v="1"/>
  </r>
  <r>
    <x v="291"/>
    <x v="0"/>
    <x v="0"/>
    <s v="Technology"/>
    <x v="3"/>
    <n v="8"/>
    <n v="161.94999999999999"/>
    <x v="1"/>
    <x v="0"/>
    <d v="2023-07-03T00:00:00"/>
    <s v="Yes"/>
    <x v="139"/>
    <x v="3"/>
    <n v="3"/>
    <n v="1"/>
    <n v="32"/>
    <s v="No"/>
    <n v="1"/>
    <n v="18"/>
    <n v="2915.1"/>
    <x v="1"/>
  </r>
  <r>
    <x v="292"/>
    <x v="0"/>
    <x v="0"/>
    <s v="Finance"/>
    <x v="2"/>
    <n v="24"/>
    <n v="351.55"/>
    <x v="1"/>
    <x v="0"/>
    <d v="2022-02-21T00:00:00"/>
    <s v="Yes"/>
    <x v="22"/>
    <x v="3"/>
    <n v="8"/>
    <n v="1"/>
    <n v="35"/>
    <s v="No"/>
    <n v="1"/>
    <n v="5"/>
    <n v="1757.75"/>
    <x v="1"/>
  </r>
  <r>
    <x v="293"/>
    <x v="2"/>
    <x v="0"/>
    <s v="Finance"/>
    <x v="0"/>
    <n v="51"/>
    <n v="1691.5"/>
    <x v="3"/>
    <x v="0"/>
    <d v="2025-08-22T00:00:00"/>
    <s v="Yes"/>
    <x v="140"/>
    <x v="3"/>
    <n v="1"/>
    <n v="4"/>
    <n v="25"/>
    <s v="No"/>
    <n v="1"/>
    <n v="2"/>
    <n v="3383"/>
    <x v="0"/>
  </r>
  <r>
    <x v="294"/>
    <x v="1"/>
    <x v="0"/>
    <s v="Manufacturing"/>
    <x v="4"/>
    <n v="34"/>
    <n v="172.55"/>
    <x v="3"/>
    <x v="1"/>
    <d v="2022-10-12T00:00:00"/>
    <s v="Yes"/>
    <x v="141"/>
    <x v="4"/>
    <n v="6"/>
    <n v="4"/>
    <n v="12"/>
    <s v="No"/>
    <n v="1"/>
    <n v="0"/>
    <n v="0"/>
    <x v="0"/>
  </r>
  <r>
    <x v="295"/>
    <x v="1"/>
    <x v="0"/>
    <s v="Education"/>
    <x v="4"/>
    <n v="146"/>
    <n v="659.75"/>
    <x v="2"/>
    <x v="0"/>
    <d v="2023-10-19T00:00:00"/>
    <s v="Yes"/>
    <x v="142"/>
    <x v="0"/>
    <n v="8"/>
    <n v="3"/>
    <n v="13"/>
    <s v="No"/>
    <n v="1"/>
    <n v="0"/>
    <n v="0"/>
    <x v="0"/>
  </r>
  <r>
    <x v="296"/>
    <x v="2"/>
    <x v="0"/>
    <s v="Technology"/>
    <x v="0"/>
    <n v="36"/>
    <n v="1243.75"/>
    <x v="4"/>
    <x v="0"/>
    <d v="2024-12-19T00:00:00"/>
    <s v="No"/>
    <x v="1"/>
    <x v="1"/>
    <n v="6"/>
    <n v="10"/>
    <n v="82"/>
    <s v="No"/>
    <n v="0"/>
    <n v="16"/>
    <n v="19900"/>
    <x v="2"/>
  </r>
  <r>
    <x v="297"/>
    <x v="1"/>
    <x v="0"/>
    <s v="Education"/>
    <x v="0"/>
    <n v="70"/>
    <n v="329.15"/>
    <x v="1"/>
    <x v="3"/>
    <d v="2023-06-28T00:00:00"/>
    <s v="Yes"/>
    <x v="143"/>
    <x v="4"/>
    <n v="15"/>
    <n v="2"/>
    <n v="11"/>
    <s v="No"/>
    <n v="1"/>
    <n v="13"/>
    <n v="4278.95"/>
    <x v="0"/>
  </r>
  <r>
    <x v="298"/>
    <x v="2"/>
    <x v="0"/>
    <s v="Retail"/>
    <x v="2"/>
    <n v="13"/>
    <n v="557.20000000000005"/>
    <x v="0"/>
    <x v="0"/>
    <d v="2022-04-29T00:00:00"/>
    <s v="Yes"/>
    <x v="144"/>
    <x v="0"/>
    <n v="6"/>
    <n v="6"/>
    <n v="43"/>
    <s v="No"/>
    <n v="1"/>
    <n v="2"/>
    <n v="1114.4000000000001"/>
    <x v="1"/>
  </r>
  <r>
    <x v="299"/>
    <x v="1"/>
    <x v="0"/>
    <s v="Manufacturing"/>
    <x v="2"/>
    <n v="23"/>
    <n v="124.7"/>
    <x v="4"/>
    <x v="1"/>
    <d v="2025-06-06T00:00:00"/>
    <s v="No"/>
    <x v="1"/>
    <x v="1"/>
    <n v="11"/>
    <n v="10"/>
    <n v="44"/>
    <s v="No"/>
    <n v="0"/>
    <n v="10"/>
    <n v="1247"/>
    <x v="1"/>
  </r>
  <r>
    <x v="300"/>
    <x v="0"/>
    <x v="1"/>
    <s v="Legal"/>
    <x v="4"/>
    <n v="108"/>
    <n v="1144.9100000000001"/>
    <x v="0"/>
    <x v="0"/>
    <d v="2024-12-14T00:00:00"/>
    <s v="No"/>
    <x v="1"/>
    <x v="1"/>
    <n v="3"/>
    <n v="6"/>
    <n v="32"/>
    <s v="Yes"/>
    <n v="0"/>
    <n v="16"/>
    <n v="18318.560000000001"/>
    <x v="1"/>
  </r>
  <r>
    <x v="301"/>
    <x v="2"/>
    <x v="1"/>
    <s v="Finance"/>
    <x v="2"/>
    <n v="19"/>
    <n v="625.86"/>
    <x v="4"/>
    <x v="0"/>
    <d v="2023-04-08T00:00:00"/>
    <s v="No"/>
    <x v="1"/>
    <x v="1"/>
    <n v="8"/>
    <n v="10"/>
    <n v="53"/>
    <s v="No"/>
    <n v="0"/>
    <n v="36"/>
    <n v="22530.959999999999"/>
    <x v="1"/>
  </r>
  <r>
    <x v="302"/>
    <x v="2"/>
    <x v="1"/>
    <s v="Consulting"/>
    <x v="2"/>
    <n v="22"/>
    <n v="701.97"/>
    <x v="5"/>
    <x v="3"/>
    <d v="2022-01-24T00:00:00"/>
    <s v="Yes"/>
    <x v="145"/>
    <x v="2"/>
    <n v="1"/>
    <n v="5"/>
    <n v="10"/>
    <s v="No"/>
    <n v="1"/>
    <n v="22"/>
    <n v="15443.34"/>
    <x v="0"/>
  </r>
  <r>
    <x v="303"/>
    <x v="0"/>
    <x v="1"/>
    <s v="Media"/>
    <x v="2"/>
    <n v="29"/>
    <n v="349.18"/>
    <x v="3"/>
    <x v="0"/>
    <d v="2022-12-03T00:00:00"/>
    <s v="Yes"/>
    <x v="146"/>
    <x v="6"/>
    <n v="14"/>
    <n v="3"/>
    <n v="32"/>
    <s v="No"/>
    <n v="1"/>
    <n v="2"/>
    <n v="698.36"/>
    <x v="1"/>
  </r>
  <r>
    <x v="304"/>
    <x v="2"/>
    <x v="0"/>
    <s v="Manufacturing"/>
    <x v="4"/>
    <n v="99"/>
    <n v="3124.3"/>
    <x v="2"/>
    <x v="0"/>
    <d v="2025-02-24T00:00:00"/>
    <s v="No"/>
    <x v="1"/>
    <x v="1"/>
    <n v="8"/>
    <n v="7"/>
    <n v="17"/>
    <s v="No"/>
    <n v="0"/>
    <n v="14"/>
    <n v="43740.200000000004"/>
    <x v="0"/>
  </r>
  <r>
    <x v="305"/>
    <x v="2"/>
    <x v="0"/>
    <s v="Legal"/>
    <x v="2"/>
    <n v="26"/>
    <n v="945.25"/>
    <x v="0"/>
    <x v="1"/>
    <d v="2024-12-15T00:00:00"/>
    <s v="No"/>
    <x v="1"/>
    <x v="1"/>
    <n v="4"/>
    <n v="6"/>
    <n v="41"/>
    <s v="No"/>
    <n v="0"/>
    <n v="16"/>
    <n v="15124"/>
    <x v="1"/>
  </r>
  <r>
    <x v="306"/>
    <x v="3"/>
    <x v="1"/>
    <s v="Manufacturing"/>
    <x v="0"/>
    <n v="50"/>
    <n v="3541.65"/>
    <x v="0"/>
    <x v="0"/>
    <d v="2025-02-09T00:00:00"/>
    <s v="No"/>
    <x v="1"/>
    <x v="1"/>
    <n v="9"/>
    <n v="9"/>
    <n v="36"/>
    <s v="No"/>
    <n v="0"/>
    <n v="14"/>
    <n v="49583.1"/>
    <x v="1"/>
  </r>
  <r>
    <x v="307"/>
    <x v="2"/>
    <x v="1"/>
    <s v="Consulting"/>
    <x v="2"/>
    <n v="21"/>
    <n v="676.6"/>
    <x v="4"/>
    <x v="0"/>
    <d v="2025-09-20T00:00:00"/>
    <s v="No"/>
    <x v="1"/>
    <x v="1"/>
    <n v="0"/>
    <n v="8"/>
    <n v="91"/>
    <s v="No"/>
    <n v="0"/>
    <n v="7"/>
    <n v="4736.2"/>
    <x v="2"/>
  </r>
  <r>
    <x v="308"/>
    <x v="1"/>
    <x v="1"/>
    <s v="Manufacturing"/>
    <x v="3"/>
    <n v="7"/>
    <n v="46.83"/>
    <x v="4"/>
    <x v="0"/>
    <d v="2023-09-03T00:00:00"/>
    <s v="Yes"/>
    <x v="147"/>
    <x v="2"/>
    <n v="5"/>
    <n v="2"/>
    <n v="41"/>
    <s v="No"/>
    <n v="1"/>
    <n v="4"/>
    <n v="187.32"/>
    <x v="1"/>
  </r>
  <r>
    <x v="309"/>
    <x v="1"/>
    <x v="0"/>
    <s v="Legal"/>
    <x v="4"/>
    <n v="71"/>
    <n v="333.5"/>
    <x v="1"/>
    <x v="1"/>
    <d v="2023-07-08T00:00:00"/>
    <s v="Yes"/>
    <x v="148"/>
    <x v="6"/>
    <n v="1"/>
    <n v="3"/>
    <n v="14"/>
    <s v="No"/>
    <n v="1"/>
    <n v="7"/>
    <n v="2334.5"/>
    <x v="0"/>
  </r>
  <r>
    <x v="310"/>
    <x v="0"/>
    <x v="1"/>
    <s v="Finance"/>
    <x v="1"/>
    <n v="290"/>
    <n v="2978.1"/>
    <x v="3"/>
    <x v="0"/>
    <d v="2024-02-15T00:00:00"/>
    <s v="No"/>
    <x v="1"/>
    <x v="1"/>
    <n v="9"/>
    <n v="9"/>
    <n v="39"/>
    <s v="No"/>
    <n v="0"/>
    <n v="26"/>
    <n v="77430.599999999991"/>
    <x v="1"/>
  </r>
  <r>
    <x v="311"/>
    <x v="1"/>
    <x v="1"/>
    <s v="Real Estate"/>
    <x v="4"/>
    <n v="36"/>
    <n v="154.06"/>
    <x v="2"/>
    <x v="2"/>
    <d v="2024-03-06T00:00:00"/>
    <s v="Yes"/>
    <x v="149"/>
    <x v="3"/>
    <n v="4"/>
    <n v="5"/>
    <n v="42"/>
    <s v="No"/>
    <n v="1"/>
    <n v="5"/>
    <n v="770.3"/>
    <x v="1"/>
  </r>
  <r>
    <x v="312"/>
    <x v="1"/>
    <x v="0"/>
    <s v="Education"/>
    <x v="0"/>
    <n v="74"/>
    <n v="346.55"/>
    <x v="0"/>
    <x v="1"/>
    <d v="2025-01-22T00:00:00"/>
    <s v="No"/>
    <x v="1"/>
    <x v="1"/>
    <n v="3"/>
    <n v="4"/>
    <n v="18"/>
    <s v="No"/>
    <n v="0"/>
    <n v="15"/>
    <n v="5198.25"/>
    <x v="0"/>
  </r>
  <r>
    <x v="313"/>
    <x v="1"/>
    <x v="1"/>
    <s v="Media"/>
    <x v="3"/>
    <n v="8"/>
    <n v="50.53"/>
    <x v="3"/>
    <x v="3"/>
    <d v="2024-10-07T00:00:00"/>
    <s v="No"/>
    <x v="1"/>
    <x v="1"/>
    <n v="3"/>
    <n v="2"/>
    <n v="22"/>
    <s v="No"/>
    <n v="0"/>
    <n v="18"/>
    <n v="909.54"/>
    <x v="0"/>
  </r>
  <r>
    <x v="314"/>
    <x v="1"/>
    <x v="0"/>
    <s v="Education"/>
    <x v="2"/>
    <n v="13"/>
    <n v="81.2"/>
    <x v="4"/>
    <x v="1"/>
    <d v="2025-03-23T00:00:00"/>
    <s v="Yes"/>
    <x v="150"/>
    <x v="5"/>
    <n v="12"/>
    <n v="3"/>
    <n v="29"/>
    <s v="No"/>
    <n v="1"/>
    <n v="5"/>
    <n v="406"/>
    <x v="0"/>
  </r>
  <r>
    <x v="315"/>
    <x v="0"/>
    <x v="1"/>
    <s v="Finance"/>
    <x v="2"/>
    <n v="33"/>
    <n v="389.47"/>
    <x v="2"/>
    <x v="3"/>
    <d v="2022-10-01T00:00:00"/>
    <s v="Yes"/>
    <x v="151"/>
    <x v="2"/>
    <n v="11"/>
    <n v="6"/>
    <n v="37"/>
    <s v="No"/>
    <n v="1"/>
    <n v="35"/>
    <n v="13631.45"/>
    <x v="1"/>
  </r>
  <r>
    <x v="316"/>
    <x v="1"/>
    <x v="0"/>
    <s v="Finance"/>
    <x v="2"/>
    <n v="31"/>
    <n v="159.5"/>
    <x v="2"/>
    <x v="0"/>
    <d v="2024-12-09T00:00:00"/>
    <s v="Yes"/>
    <x v="152"/>
    <x v="0"/>
    <n v="6"/>
    <n v="3"/>
    <n v="26"/>
    <s v="No"/>
    <n v="1"/>
    <n v="4"/>
    <n v="638"/>
    <x v="0"/>
  </r>
  <r>
    <x v="317"/>
    <x v="1"/>
    <x v="0"/>
    <s v="Retail"/>
    <x v="3"/>
    <n v="1"/>
    <n v="29"/>
    <x v="5"/>
    <x v="3"/>
    <d v="2025-02-06T00:00:00"/>
    <s v="Yes"/>
    <x v="153"/>
    <x v="5"/>
    <n v="12"/>
    <n v="3"/>
    <n v="30"/>
    <s v="No"/>
    <n v="1"/>
    <n v="8"/>
    <n v="232"/>
    <x v="1"/>
  </r>
  <r>
    <x v="318"/>
    <x v="1"/>
    <x v="1"/>
    <s v="Legal"/>
    <x v="0"/>
    <n v="40"/>
    <n v="168.85"/>
    <x v="0"/>
    <x v="1"/>
    <d v="2022-07-16T00:00:00"/>
    <s v="Yes"/>
    <x v="154"/>
    <x v="3"/>
    <n v="14"/>
    <n v="4"/>
    <n v="38"/>
    <s v="No"/>
    <n v="1"/>
    <n v="2"/>
    <n v="337.7"/>
    <x v="1"/>
  </r>
  <r>
    <x v="319"/>
    <x v="0"/>
    <x v="1"/>
    <s v="Legal"/>
    <x v="0"/>
    <n v="20"/>
    <n v="258.52999999999997"/>
    <x v="0"/>
    <x v="1"/>
    <d v="2023-12-19T00:00:00"/>
    <s v="No"/>
    <x v="1"/>
    <x v="1"/>
    <n v="10"/>
    <n v="9"/>
    <n v="34"/>
    <s v="No"/>
    <n v="0"/>
    <n v="28"/>
    <n v="7238.8399999999992"/>
    <x v="1"/>
  </r>
  <r>
    <x v="320"/>
    <x v="0"/>
    <x v="0"/>
    <s v="Education"/>
    <x v="3"/>
    <n v="2"/>
    <n v="90.85"/>
    <x v="0"/>
    <x v="0"/>
    <d v="2025-03-11T00:00:00"/>
    <s v="Yes"/>
    <x v="155"/>
    <x v="5"/>
    <n v="8"/>
    <n v="3"/>
    <n v="15"/>
    <s v="No"/>
    <n v="1"/>
    <n v="1"/>
    <n v="90.85"/>
    <x v="0"/>
  </r>
  <r>
    <x v="321"/>
    <x v="0"/>
    <x v="1"/>
    <s v="Consulting"/>
    <x v="0"/>
    <n v="34"/>
    <n v="399.54"/>
    <x v="5"/>
    <x v="0"/>
    <d v="2024-10-14T00:00:00"/>
    <s v="Yes"/>
    <x v="156"/>
    <x v="7"/>
    <n v="11"/>
    <n v="6"/>
    <n v="12"/>
    <s v="No"/>
    <n v="1"/>
    <n v="1"/>
    <n v="399.54"/>
    <x v="0"/>
  </r>
  <r>
    <x v="322"/>
    <x v="2"/>
    <x v="0"/>
    <s v="Media"/>
    <x v="3"/>
    <n v="7"/>
    <n v="378.1"/>
    <x v="2"/>
    <x v="2"/>
    <d v="2023-10-18T00:00:00"/>
    <s v="No"/>
    <x v="1"/>
    <x v="1"/>
    <n v="5"/>
    <n v="9"/>
    <n v="55"/>
    <s v="No"/>
    <n v="0"/>
    <n v="30"/>
    <n v="11343"/>
    <x v="1"/>
  </r>
  <r>
    <x v="323"/>
    <x v="1"/>
    <x v="1"/>
    <s v="Consulting"/>
    <x v="0"/>
    <n v="24"/>
    <n v="109.69"/>
    <x v="0"/>
    <x v="0"/>
    <d v="2025-11-12T00:00:00"/>
    <s v="No"/>
    <x v="1"/>
    <x v="1"/>
    <n v="7"/>
    <n v="2"/>
    <n v="90"/>
    <s v="No"/>
    <n v="0"/>
    <n v="5"/>
    <n v="548.45000000000005"/>
    <x v="2"/>
  </r>
  <r>
    <x v="324"/>
    <x v="0"/>
    <x v="1"/>
    <s v="Technology"/>
    <x v="4"/>
    <n v="105"/>
    <n v="1114.69"/>
    <x v="4"/>
    <x v="1"/>
    <d v="2022-03-28T00:00:00"/>
    <s v="Yes"/>
    <x v="137"/>
    <x v="4"/>
    <n v="2"/>
    <n v="1"/>
    <n v="15"/>
    <s v="No"/>
    <n v="1"/>
    <n v="17"/>
    <n v="18949.73"/>
    <x v="0"/>
  </r>
  <r>
    <x v="325"/>
    <x v="2"/>
    <x v="1"/>
    <s v="Education"/>
    <x v="2"/>
    <n v="10"/>
    <n v="397.5"/>
    <x v="2"/>
    <x v="0"/>
    <d v="2025-01-19T00:00:00"/>
    <s v="No"/>
    <x v="1"/>
    <x v="1"/>
    <n v="6"/>
    <n v="9"/>
    <n v="77"/>
    <s v="Yes"/>
    <n v="0"/>
    <n v="15"/>
    <n v="5962.5"/>
    <x v="2"/>
  </r>
  <r>
    <x v="326"/>
    <x v="0"/>
    <x v="0"/>
    <s v="Consulting"/>
    <x v="2"/>
    <n v="15"/>
    <n v="244.9"/>
    <x v="2"/>
    <x v="2"/>
    <d v="2022-05-04T00:00:00"/>
    <s v="Yes"/>
    <x v="157"/>
    <x v="5"/>
    <n v="14"/>
    <n v="1"/>
    <n v="15"/>
    <s v="No"/>
    <n v="1"/>
    <n v="1"/>
    <n v="244.9"/>
    <x v="0"/>
  </r>
  <r>
    <x v="327"/>
    <x v="0"/>
    <x v="0"/>
    <s v="Technology"/>
    <x v="2"/>
    <n v="13"/>
    <n v="221.2"/>
    <x v="4"/>
    <x v="1"/>
    <d v="2024-08-30T00:00:00"/>
    <s v="No"/>
    <x v="1"/>
    <x v="1"/>
    <n v="2"/>
    <n v="4"/>
    <n v="71"/>
    <s v="No"/>
    <n v="0"/>
    <n v="20"/>
    <n v="4424"/>
    <x v="2"/>
  </r>
  <r>
    <x v="328"/>
    <x v="1"/>
    <x v="0"/>
    <s v="Legal"/>
    <x v="1"/>
    <n v="297"/>
    <n v="1316.6"/>
    <x v="2"/>
    <x v="3"/>
    <d v="2025-12-11T00:00:00"/>
    <s v="No"/>
    <x v="1"/>
    <x v="1"/>
    <n v="7"/>
    <n v="4"/>
    <n v="44"/>
    <s v="No"/>
    <n v="0"/>
    <n v="4"/>
    <n v="5266.4"/>
    <x v="1"/>
  </r>
  <r>
    <x v="329"/>
    <x v="0"/>
    <x v="0"/>
    <s v="Retail"/>
    <x v="0"/>
    <n v="51"/>
    <n v="671.5"/>
    <x v="1"/>
    <x v="2"/>
    <d v="2024-03-17T00:00:00"/>
    <s v="No"/>
    <x v="1"/>
    <x v="1"/>
    <n v="7"/>
    <n v="4"/>
    <n v="84"/>
    <s v="No"/>
    <n v="0"/>
    <n v="25"/>
    <n v="16787.5"/>
    <x v="2"/>
  </r>
  <r>
    <x v="330"/>
    <x v="0"/>
    <x v="0"/>
    <s v="Education"/>
    <x v="0"/>
    <n v="30"/>
    <n v="422.65"/>
    <x v="5"/>
    <x v="0"/>
    <d v="2025-06-13T00:00:00"/>
    <s v="No"/>
    <x v="1"/>
    <x v="1"/>
    <n v="11"/>
    <n v="5"/>
    <n v="60"/>
    <s v="No"/>
    <n v="0"/>
    <n v="10"/>
    <n v="4226.5"/>
    <x v="2"/>
  </r>
  <r>
    <x v="331"/>
    <x v="0"/>
    <x v="0"/>
    <s v="Finance"/>
    <x v="0"/>
    <n v="77"/>
    <n v="979.6"/>
    <x v="4"/>
    <x v="0"/>
    <d v="2025-03-08T00:00:00"/>
    <s v="Yes"/>
    <x v="158"/>
    <x v="4"/>
    <n v="3"/>
    <n v="2"/>
    <n v="40"/>
    <s v="No"/>
    <n v="1"/>
    <n v="3"/>
    <n v="2938.8"/>
    <x v="1"/>
  </r>
  <r>
    <x v="332"/>
    <x v="0"/>
    <x v="1"/>
    <s v="Education"/>
    <x v="0"/>
    <n v="18"/>
    <n v="238.38"/>
    <x v="2"/>
    <x v="2"/>
    <d v="2024-04-05T00:00:00"/>
    <s v="Yes"/>
    <x v="159"/>
    <x v="7"/>
    <n v="14"/>
    <n v="1"/>
    <n v="33"/>
    <s v="No"/>
    <n v="1"/>
    <n v="18"/>
    <n v="4290.84"/>
    <x v="1"/>
  </r>
  <r>
    <x v="333"/>
    <x v="1"/>
    <x v="1"/>
    <s v="Finance"/>
    <x v="4"/>
    <n v="85"/>
    <n v="335.24"/>
    <x v="0"/>
    <x v="1"/>
    <d v="2023-10-13T00:00:00"/>
    <s v="Yes"/>
    <x v="160"/>
    <x v="4"/>
    <n v="8"/>
    <n v="1"/>
    <n v="35"/>
    <s v="No"/>
    <n v="1"/>
    <n v="3"/>
    <n v="1005.72"/>
    <x v="1"/>
  </r>
  <r>
    <x v="334"/>
    <x v="0"/>
    <x v="0"/>
    <s v="Consulting"/>
    <x v="2"/>
    <n v="18"/>
    <n v="280.45"/>
    <x v="5"/>
    <x v="0"/>
    <d v="2022-09-07T00:00:00"/>
    <s v="Yes"/>
    <x v="161"/>
    <x v="6"/>
    <n v="10"/>
    <n v="1"/>
    <n v="27"/>
    <s v="No"/>
    <n v="1"/>
    <n v="18"/>
    <n v="5048.0999999999995"/>
    <x v="0"/>
  </r>
  <r>
    <x v="335"/>
    <x v="2"/>
    <x v="1"/>
    <s v="Education"/>
    <x v="3"/>
    <n v="5"/>
    <n v="270.64"/>
    <x v="0"/>
    <x v="1"/>
    <d v="2023-07-14T00:00:00"/>
    <s v="Yes"/>
    <x v="162"/>
    <x v="5"/>
    <n v="7"/>
    <n v="1"/>
    <n v="36"/>
    <s v="No"/>
    <n v="1"/>
    <n v="19"/>
    <n v="5142.16"/>
    <x v="1"/>
  </r>
  <r>
    <x v="336"/>
    <x v="1"/>
    <x v="0"/>
    <s v="Media"/>
    <x v="0"/>
    <n v="65"/>
    <n v="307.39999999999998"/>
    <x v="4"/>
    <x v="3"/>
    <d v="2022-11-22T00:00:00"/>
    <s v="Yes"/>
    <x v="163"/>
    <x v="0"/>
    <n v="3"/>
    <n v="1"/>
    <n v="45"/>
    <s v="No"/>
    <n v="1"/>
    <n v="3"/>
    <n v="922.19999999999993"/>
    <x v="1"/>
  </r>
  <r>
    <x v="337"/>
    <x v="1"/>
    <x v="1"/>
    <s v="Technology"/>
    <x v="2"/>
    <n v="26"/>
    <n v="117.09"/>
    <x v="2"/>
    <x v="0"/>
    <d v="2024-01-29T00:00:00"/>
    <s v="No"/>
    <x v="1"/>
    <x v="1"/>
    <n v="4"/>
    <n v="8"/>
    <n v="42"/>
    <s v="Yes"/>
    <n v="0"/>
    <n v="27"/>
    <n v="3161.4300000000003"/>
    <x v="1"/>
  </r>
  <r>
    <x v="338"/>
    <x v="1"/>
    <x v="0"/>
    <s v="Media"/>
    <x v="3"/>
    <n v="4"/>
    <n v="42.05"/>
    <x v="0"/>
    <x v="0"/>
    <d v="2024-05-28T00:00:00"/>
    <s v="Yes"/>
    <x v="164"/>
    <x v="0"/>
    <n v="0"/>
    <n v="4"/>
    <n v="13"/>
    <s v="No"/>
    <n v="1"/>
    <n v="7"/>
    <n v="294.34999999999997"/>
    <x v="0"/>
  </r>
  <r>
    <x v="339"/>
    <x v="1"/>
    <x v="1"/>
    <s v="Education"/>
    <x v="4"/>
    <n v="140"/>
    <n v="538.6"/>
    <x v="0"/>
    <x v="1"/>
    <d v="2022-06-30T00:00:00"/>
    <s v="Yes"/>
    <x v="165"/>
    <x v="4"/>
    <n v="14"/>
    <n v="2"/>
    <n v="43"/>
    <s v="No"/>
    <n v="1"/>
    <n v="3"/>
    <n v="1615.8000000000002"/>
    <x v="1"/>
  </r>
  <r>
    <x v="340"/>
    <x v="1"/>
    <x v="0"/>
    <s v="Real Estate"/>
    <x v="4"/>
    <n v="41"/>
    <n v="203"/>
    <x v="4"/>
    <x v="0"/>
    <d v="2025-03-19T00:00:00"/>
    <s v="Yes"/>
    <x v="166"/>
    <x v="6"/>
    <n v="12"/>
    <n v="1"/>
    <n v="40"/>
    <s v="No"/>
    <n v="1"/>
    <n v="3"/>
    <n v="609"/>
    <x v="1"/>
  </r>
  <r>
    <x v="341"/>
    <x v="1"/>
    <x v="1"/>
    <s v="Retail"/>
    <x v="4"/>
    <n v="78"/>
    <n v="309.36"/>
    <x v="4"/>
    <x v="1"/>
    <d v="2024-08-15T00:00:00"/>
    <s v="Yes"/>
    <x v="167"/>
    <x v="3"/>
    <n v="3"/>
    <n v="1"/>
    <n v="35"/>
    <s v="No"/>
    <n v="1"/>
    <n v="12"/>
    <n v="3712.32"/>
    <x v="1"/>
  </r>
  <r>
    <x v="342"/>
    <x v="2"/>
    <x v="1"/>
    <s v="Legal"/>
    <x v="2"/>
    <n v="12"/>
    <n v="448.25"/>
    <x v="3"/>
    <x v="3"/>
    <d v="2023-05-23T00:00:00"/>
    <s v="Yes"/>
    <x v="168"/>
    <x v="6"/>
    <n v="12"/>
    <n v="6"/>
    <n v="19"/>
    <s v="No"/>
    <n v="1"/>
    <n v="22"/>
    <n v="9861.5"/>
    <x v="0"/>
  </r>
  <r>
    <x v="343"/>
    <x v="0"/>
    <x v="0"/>
    <s v="Retail"/>
    <x v="2"/>
    <n v="32"/>
    <n v="446.35"/>
    <x v="3"/>
    <x v="2"/>
    <d v="2022-05-22T00:00:00"/>
    <s v="Yes"/>
    <x v="169"/>
    <x v="5"/>
    <n v="3"/>
    <n v="3"/>
    <n v="29"/>
    <s v="No"/>
    <n v="1"/>
    <n v="12"/>
    <n v="5356.2000000000007"/>
    <x v="0"/>
  </r>
  <r>
    <x v="344"/>
    <x v="2"/>
    <x v="1"/>
    <s v="Education"/>
    <x v="3"/>
    <n v="4"/>
    <n v="245.27"/>
    <x v="4"/>
    <x v="1"/>
    <d v="2022-09-26T00:00:00"/>
    <s v="No"/>
    <x v="1"/>
    <x v="1"/>
    <n v="4"/>
    <n v="2"/>
    <n v="93"/>
    <s v="No"/>
    <n v="0"/>
    <n v="43"/>
    <n v="10546.61"/>
    <x v="2"/>
  </r>
  <r>
    <x v="345"/>
    <x v="2"/>
    <x v="0"/>
    <s v="Education"/>
    <x v="4"/>
    <n v="126"/>
    <n v="3930.25"/>
    <x v="4"/>
    <x v="0"/>
    <d v="2025-11-18T00:00:00"/>
    <s v="No"/>
    <x v="1"/>
    <x v="1"/>
    <n v="9"/>
    <n v="8"/>
    <n v="20"/>
    <s v="No"/>
    <n v="0"/>
    <n v="5"/>
    <n v="19651.25"/>
    <x v="0"/>
  </r>
  <r>
    <x v="346"/>
    <x v="0"/>
    <x v="1"/>
    <s v="Media"/>
    <x v="0"/>
    <n v="17"/>
    <n v="228.31"/>
    <x v="0"/>
    <x v="1"/>
    <d v="2025-09-25T00:00:00"/>
    <s v="No"/>
    <x v="1"/>
    <x v="1"/>
    <n v="5"/>
    <n v="4"/>
    <n v="21"/>
    <s v="No"/>
    <n v="0"/>
    <n v="7"/>
    <n v="1598.17"/>
    <x v="0"/>
  </r>
  <r>
    <x v="347"/>
    <x v="2"/>
    <x v="0"/>
    <s v="Technology"/>
    <x v="0"/>
    <n v="73"/>
    <n v="2348.1999999999998"/>
    <x v="0"/>
    <x v="2"/>
    <d v="2025-06-05T00:00:00"/>
    <s v="No"/>
    <x v="1"/>
    <x v="1"/>
    <n v="9"/>
    <n v="5"/>
    <n v="74"/>
    <s v="No"/>
    <n v="0"/>
    <n v="10"/>
    <n v="23482"/>
    <x v="2"/>
  </r>
  <r>
    <x v="348"/>
    <x v="2"/>
    <x v="1"/>
    <s v="Legal"/>
    <x v="2"/>
    <n v="29"/>
    <n v="879.58"/>
    <x v="4"/>
    <x v="0"/>
    <d v="2024-06-14T00:00:00"/>
    <s v="No"/>
    <x v="1"/>
    <x v="1"/>
    <n v="7"/>
    <n v="10"/>
    <n v="33"/>
    <s v="No"/>
    <n v="0"/>
    <n v="22"/>
    <n v="19350.760000000002"/>
    <x v="1"/>
  </r>
  <r>
    <x v="349"/>
    <x v="0"/>
    <x v="0"/>
    <s v="Media"/>
    <x v="0"/>
    <n v="59"/>
    <n v="766.3"/>
    <x v="5"/>
    <x v="0"/>
    <d v="2022-02-27T00:00:00"/>
    <s v="Yes"/>
    <x v="170"/>
    <x v="3"/>
    <n v="6"/>
    <n v="2"/>
    <n v="21"/>
    <s v="No"/>
    <n v="1"/>
    <n v="7"/>
    <n v="5364.0999999999995"/>
    <x v="0"/>
  </r>
  <r>
    <x v="350"/>
    <x v="1"/>
    <x v="1"/>
    <s v="Retail"/>
    <x v="3"/>
    <n v="4"/>
    <n v="35.74"/>
    <x v="4"/>
    <x v="0"/>
    <d v="2024-07-21T00:00:00"/>
    <s v="Yes"/>
    <x v="44"/>
    <x v="7"/>
    <n v="8"/>
    <n v="6"/>
    <n v="47"/>
    <s v="No"/>
    <n v="1"/>
    <n v="4"/>
    <n v="142.96"/>
    <x v="1"/>
  </r>
  <r>
    <x v="351"/>
    <x v="1"/>
    <x v="0"/>
    <s v="Education"/>
    <x v="1"/>
    <n v="130"/>
    <n v="590.15"/>
    <x v="2"/>
    <x v="1"/>
    <d v="2023-07-18T00:00:00"/>
    <s v="Yes"/>
    <x v="171"/>
    <x v="4"/>
    <n v="5"/>
    <n v="4"/>
    <n v="23"/>
    <s v="No"/>
    <n v="1"/>
    <n v="9"/>
    <n v="5311.3499999999995"/>
    <x v="0"/>
  </r>
  <r>
    <x v="352"/>
    <x v="2"/>
    <x v="1"/>
    <s v="Healthcare"/>
    <x v="4"/>
    <n v="61"/>
    <n v="1691.5"/>
    <x v="5"/>
    <x v="1"/>
    <d v="2025-04-02T00:00:00"/>
    <s v="Yes"/>
    <x v="172"/>
    <x v="7"/>
    <n v="15"/>
    <n v="5"/>
    <n v="33"/>
    <s v="No"/>
    <n v="1"/>
    <n v="1"/>
    <n v="1691.5"/>
    <x v="1"/>
  </r>
  <r>
    <x v="353"/>
    <x v="2"/>
    <x v="1"/>
    <s v="Finance"/>
    <x v="3"/>
    <n v="8"/>
    <n v="346.76"/>
    <x v="2"/>
    <x v="0"/>
    <d v="2022-06-25T00:00:00"/>
    <s v="Yes"/>
    <x v="173"/>
    <x v="2"/>
    <n v="10"/>
    <n v="6"/>
    <n v="30"/>
    <s v="No"/>
    <n v="1"/>
    <n v="30"/>
    <n v="10402.799999999999"/>
    <x v="1"/>
  </r>
  <r>
    <x v="354"/>
    <x v="1"/>
    <x v="1"/>
    <s v="Healthcare"/>
    <x v="0"/>
    <n v="43"/>
    <n v="179.94"/>
    <x v="0"/>
    <x v="0"/>
    <d v="2024-10-27T00:00:00"/>
    <s v="No"/>
    <x v="1"/>
    <x v="1"/>
    <n v="3"/>
    <n v="3"/>
    <n v="63"/>
    <s v="No"/>
    <n v="0"/>
    <n v="18"/>
    <n v="3238.92"/>
    <x v="2"/>
  </r>
  <r>
    <x v="355"/>
    <x v="1"/>
    <x v="1"/>
    <s v="Media"/>
    <x v="2"/>
    <n v="6"/>
    <n v="43.14"/>
    <x v="0"/>
    <x v="0"/>
    <d v="2022-09-13T00:00:00"/>
    <s v="Yes"/>
    <x v="174"/>
    <x v="2"/>
    <n v="15"/>
    <n v="3"/>
    <n v="46"/>
    <s v="No"/>
    <n v="1"/>
    <n v="1"/>
    <n v="43.14"/>
    <x v="1"/>
  </r>
  <r>
    <x v="356"/>
    <x v="1"/>
    <x v="1"/>
    <s v="Healthcare"/>
    <x v="4"/>
    <n v="92"/>
    <n v="361.12"/>
    <x v="0"/>
    <x v="0"/>
    <d v="2023-01-23T00:00:00"/>
    <s v="Yes"/>
    <x v="175"/>
    <x v="7"/>
    <n v="13"/>
    <n v="1"/>
    <n v="38"/>
    <s v="No"/>
    <n v="1"/>
    <n v="4"/>
    <n v="1444.48"/>
    <x v="1"/>
  </r>
  <r>
    <x v="357"/>
    <x v="1"/>
    <x v="1"/>
    <s v="Consulting"/>
    <x v="0"/>
    <n v="30"/>
    <n v="131.88"/>
    <x v="3"/>
    <x v="1"/>
    <d v="2025-02-24T00:00:00"/>
    <s v="No"/>
    <x v="1"/>
    <x v="1"/>
    <n v="1"/>
    <n v="7"/>
    <n v="39"/>
    <s v="No"/>
    <n v="0"/>
    <n v="14"/>
    <n v="1846.32"/>
    <x v="1"/>
  </r>
  <r>
    <x v="358"/>
    <x v="2"/>
    <x v="0"/>
    <s v="Healthcare"/>
    <x v="4"/>
    <n v="118"/>
    <n v="3691.45"/>
    <x v="1"/>
    <x v="2"/>
    <d v="2025-07-03T00:00:00"/>
    <s v="No"/>
    <x v="1"/>
    <x v="1"/>
    <n v="10"/>
    <n v="5"/>
    <n v="87"/>
    <s v="No"/>
    <n v="0"/>
    <n v="9"/>
    <n v="33223.049999999996"/>
    <x v="2"/>
  </r>
  <r>
    <x v="359"/>
    <x v="1"/>
    <x v="1"/>
    <s v="Consulting"/>
    <x v="3"/>
    <n v="2"/>
    <n v="28.35"/>
    <x v="5"/>
    <x v="1"/>
    <d v="2022-08-07T00:00:00"/>
    <s v="No"/>
    <x v="1"/>
    <x v="1"/>
    <n v="11"/>
    <n v="6"/>
    <n v="20"/>
    <s v="No"/>
    <n v="0"/>
    <n v="44"/>
    <n v="1247.4000000000001"/>
    <x v="0"/>
  </r>
  <r>
    <x v="360"/>
    <x v="0"/>
    <x v="1"/>
    <s v="Retail"/>
    <x v="3"/>
    <n v="7"/>
    <n v="127.59"/>
    <x v="4"/>
    <x v="1"/>
    <d v="2024-06-08T00:00:00"/>
    <s v="No"/>
    <x v="1"/>
    <x v="1"/>
    <n v="12"/>
    <n v="7"/>
    <n v="31"/>
    <s v="No"/>
    <n v="0"/>
    <n v="22"/>
    <n v="2806.98"/>
    <x v="1"/>
  </r>
  <r>
    <x v="361"/>
    <x v="3"/>
    <x v="0"/>
    <s v="Healthcare"/>
    <x v="0"/>
    <n v="59"/>
    <n v="4840.3"/>
    <x v="0"/>
    <x v="0"/>
    <d v="2023-09-21T00:00:00"/>
    <s v="No"/>
    <x v="1"/>
    <x v="1"/>
    <n v="0"/>
    <n v="3"/>
    <n v="90"/>
    <s v="No"/>
    <n v="0"/>
    <n v="31"/>
    <n v="150049.30000000002"/>
    <x v="2"/>
  </r>
  <r>
    <x v="362"/>
    <x v="3"/>
    <x v="0"/>
    <s v="Technology"/>
    <x v="3"/>
    <n v="7"/>
    <n v="948.1"/>
    <x v="5"/>
    <x v="0"/>
    <d v="2024-03-06T00:00:00"/>
    <s v="No"/>
    <x v="1"/>
    <x v="1"/>
    <n v="2"/>
    <n v="6"/>
    <n v="41"/>
    <s v="No"/>
    <n v="0"/>
    <n v="25"/>
    <n v="23702.5"/>
    <x v="1"/>
  </r>
  <r>
    <x v="363"/>
    <x v="2"/>
    <x v="0"/>
    <s v="Legal"/>
    <x v="2"/>
    <n v="17"/>
    <n v="676.6"/>
    <x v="2"/>
    <x v="0"/>
    <d v="2022-04-05T00:00:00"/>
    <s v="Yes"/>
    <x v="150"/>
    <x v="0"/>
    <n v="7"/>
    <n v="4"/>
    <n v="13"/>
    <s v="No"/>
    <n v="1"/>
    <n v="41"/>
    <n v="27740.600000000002"/>
    <x v="0"/>
  </r>
  <r>
    <x v="364"/>
    <x v="1"/>
    <x v="0"/>
    <s v="Consulting"/>
    <x v="2"/>
    <n v="14"/>
    <n v="85.55"/>
    <x v="2"/>
    <x v="3"/>
    <d v="2024-03-11T00:00:00"/>
    <s v="Yes"/>
    <x v="176"/>
    <x v="3"/>
    <n v="9"/>
    <n v="2"/>
    <n v="14"/>
    <s v="No"/>
    <n v="1"/>
    <n v="2"/>
    <n v="171.1"/>
    <x v="0"/>
  </r>
  <r>
    <x v="365"/>
    <x v="0"/>
    <x v="0"/>
    <s v="Education"/>
    <x v="0"/>
    <n v="52"/>
    <n v="683.35"/>
    <x v="4"/>
    <x v="0"/>
    <d v="2025-09-28T00:00:00"/>
    <s v="No"/>
    <x v="1"/>
    <x v="1"/>
    <n v="11"/>
    <n v="8"/>
    <n v="17"/>
    <s v="No"/>
    <n v="0"/>
    <n v="7"/>
    <n v="4783.45"/>
    <x v="0"/>
  </r>
  <r>
    <x v="366"/>
    <x v="1"/>
    <x v="1"/>
    <s v="Consulting"/>
    <x v="3"/>
    <n v="5"/>
    <n v="39.44"/>
    <x v="3"/>
    <x v="0"/>
    <d v="2023-07-29T00:00:00"/>
    <s v="No"/>
    <x v="1"/>
    <x v="1"/>
    <n v="1"/>
    <n v="3"/>
    <n v="80"/>
    <s v="No"/>
    <n v="0"/>
    <n v="33"/>
    <n v="1301.52"/>
    <x v="2"/>
  </r>
  <r>
    <x v="367"/>
    <x v="0"/>
    <x v="1"/>
    <s v="Media"/>
    <x v="2"/>
    <n v="25"/>
    <n v="308.89"/>
    <x v="2"/>
    <x v="0"/>
    <d v="2024-05-17T00:00:00"/>
    <s v="No"/>
    <x v="1"/>
    <x v="1"/>
    <n v="3"/>
    <n v="6"/>
    <n v="92"/>
    <s v="No"/>
    <n v="0"/>
    <n v="23"/>
    <n v="7104.4699999999993"/>
    <x v="2"/>
  </r>
  <r>
    <x v="368"/>
    <x v="3"/>
    <x v="0"/>
    <s v="Retail"/>
    <x v="2"/>
    <n v="25"/>
    <n v="2295.4"/>
    <x v="1"/>
    <x v="0"/>
    <d v="2025-03-09T00:00:00"/>
    <s v="Yes"/>
    <x v="177"/>
    <x v="3"/>
    <n v="9"/>
    <n v="6"/>
    <n v="37"/>
    <s v="No"/>
    <n v="1"/>
    <n v="1"/>
    <n v="2295.4"/>
    <x v="1"/>
  </r>
  <r>
    <x v="369"/>
    <x v="1"/>
    <x v="0"/>
    <s v="Real Estate"/>
    <x v="4"/>
    <n v="117"/>
    <n v="533.6"/>
    <x v="0"/>
    <x v="0"/>
    <d v="2024-07-19T00:00:00"/>
    <s v="Yes"/>
    <x v="177"/>
    <x v="0"/>
    <n v="8"/>
    <n v="6"/>
    <n v="10"/>
    <s v="No"/>
    <n v="1"/>
    <n v="9"/>
    <n v="4802.4000000000005"/>
    <x v="0"/>
  </r>
  <r>
    <x v="370"/>
    <x v="1"/>
    <x v="0"/>
    <s v="Consulting"/>
    <x v="0"/>
    <n v="39"/>
    <n v="194.3"/>
    <x v="3"/>
    <x v="3"/>
    <d v="2024-03-01T00:00:00"/>
    <s v="Yes"/>
    <x v="178"/>
    <x v="0"/>
    <n v="13"/>
    <n v="1"/>
    <n v="22"/>
    <s v="No"/>
    <n v="1"/>
    <n v="1"/>
    <n v="194.3"/>
    <x v="0"/>
  </r>
  <r>
    <x v="371"/>
    <x v="2"/>
    <x v="0"/>
    <s v="Legal"/>
    <x v="2"/>
    <n v="29"/>
    <n v="1034.8"/>
    <x v="4"/>
    <x v="2"/>
    <d v="2023-02-10T00:00:00"/>
    <s v="Yes"/>
    <x v="179"/>
    <x v="5"/>
    <n v="12"/>
    <n v="1"/>
    <n v="34"/>
    <s v="No"/>
    <n v="1"/>
    <n v="32"/>
    <n v="33113.599999999999"/>
    <x v="1"/>
  </r>
  <r>
    <x v="372"/>
    <x v="2"/>
    <x v="0"/>
    <s v="Finance"/>
    <x v="3"/>
    <n v="4"/>
    <n v="288.55"/>
    <x v="2"/>
    <x v="1"/>
    <d v="2025-10-29T00:00:00"/>
    <s v="No"/>
    <x v="1"/>
    <x v="1"/>
    <n v="6"/>
    <n v="2"/>
    <n v="63"/>
    <s v="No"/>
    <n v="0"/>
    <n v="6"/>
    <n v="1731.3000000000002"/>
    <x v="2"/>
  </r>
  <r>
    <x v="373"/>
    <x v="1"/>
    <x v="0"/>
    <s v="Real Estate"/>
    <x v="4"/>
    <n v="139"/>
    <n v="629.29999999999995"/>
    <x v="4"/>
    <x v="2"/>
    <d v="2022-01-08T00:00:00"/>
    <s v="Yes"/>
    <x v="180"/>
    <x v="7"/>
    <n v="10"/>
    <n v="6"/>
    <n v="20"/>
    <s v="No"/>
    <n v="1"/>
    <n v="3"/>
    <n v="1887.8999999999999"/>
    <x v="0"/>
  </r>
  <r>
    <x v="374"/>
    <x v="1"/>
    <x v="1"/>
    <s v="Legal"/>
    <x v="2"/>
    <n v="16"/>
    <n v="80.11"/>
    <x v="0"/>
    <x v="1"/>
    <d v="2022-05-12T00:00:00"/>
    <s v="Yes"/>
    <x v="181"/>
    <x v="7"/>
    <n v="7"/>
    <n v="5"/>
    <n v="18"/>
    <s v="No"/>
    <n v="1"/>
    <n v="7"/>
    <n v="560.77"/>
    <x v="0"/>
  </r>
  <r>
    <x v="375"/>
    <x v="3"/>
    <x v="1"/>
    <s v="Healthcare"/>
    <x v="0"/>
    <n v="46"/>
    <n v="3287.16"/>
    <x v="2"/>
    <x v="0"/>
    <d v="2023-03-09T00:00:00"/>
    <s v="Yes"/>
    <x v="182"/>
    <x v="6"/>
    <n v="12"/>
    <n v="5"/>
    <n v="27"/>
    <s v="No"/>
    <n v="1"/>
    <n v="15"/>
    <n v="49307.399999999994"/>
    <x v="0"/>
  </r>
  <r>
    <x v="376"/>
    <x v="1"/>
    <x v="0"/>
    <s v="Legal"/>
    <x v="2"/>
    <n v="26"/>
    <n v="137.75"/>
    <x v="0"/>
    <x v="3"/>
    <d v="2023-09-22T00:00:00"/>
    <s v="Yes"/>
    <x v="183"/>
    <x v="2"/>
    <n v="12"/>
    <n v="1"/>
    <n v="33"/>
    <s v="No"/>
    <n v="1"/>
    <n v="2"/>
    <n v="275.5"/>
    <x v="1"/>
  </r>
  <r>
    <x v="377"/>
    <x v="2"/>
    <x v="0"/>
    <s v="Manufacturing"/>
    <x v="2"/>
    <n v="5"/>
    <n v="318.39999999999998"/>
    <x v="0"/>
    <x v="2"/>
    <d v="2022-05-11T00:00:00"/>
    <s v="Yes"/>
    <x v="184"/>
    <x v="2"/>
    <n v="10"/>
    <n v="6"/>
    <n v="31"/>
    <s v="No"/>
    <n v="1"/>
    <n v="17"/>
    <n v="5412.7999999999993"/>
    <x v="1"/>
  </r>
  <r>
    <x v="378"/>
    <x v="1"/>
    <x v="1"/>
    <s v="Technology"/>
    <x v="4"/>
    <n v="62"/>
    <n v="250.2"/>
    <x v="5"/>
    <x v="2"/>
    <d v="2023-07-22T00:00:00"/>
    <s v="Yes"/>
    <x v="185"/>
    <x v="7"/>
    <n v="13"/>
    <n v="6"/>
    <n v="10"/>
    <s v="No"/>
    <n v="1"/>
    <n v="1"/>
    <n v="250.2"/>
    <x v="0"/>
  </r>
  <r>
    <x v="379"/>
    <x v="2"/>
    <x v="1"/>
    <s v="Manufacturing"/>
    <x v="4"/>
    <n v="150"/>
    <n v="3949.65"/>
    <x v="0"/>
    <x v="0"/>
    <d v="2024-04-07T00:00:00"/>
    <s v="No"/>
    <x v="1"/>
    <x v="1"/>
    <n v="7"/>
    <n v="9"/>
    <n v="67"/>
    <s v="No"/>
    <n v="0"/>
    <n v="24"/>
    <n v="94791.6"/>
    <x v="2"/>
  </r>
  <r>
    <x v="380"/>
    <x v="1"/>
    <x v="1"/>
    <s v="Real Estate"/>
    <x v="4"/>
    <n v="126"/>
    <n v="486.84"/>
    <x v="1"/>
    <x v="2"/>
    <d v="2022-08-26T00:00:00"/>
    <s v="No"/>
    <x v="1"/>
    <x v="1"/>
    <n v="11"/>
    <n v="5"/>
    <n v="74"/>
    <s v="No"/>
    <n v="0"/>
    <n v="44"/>
    <n v="21420.959999999999"/>
    <x v="2"/>
  </r>
  <r>
    <x v="381"/>
    <x v="1"/>
    <x v="0"/>
    <s v="Retail"/>
    <x v="2"/>
    <n v="24"/>
    <n v="129.05000000000001"/>
    <x v="0"/>
    <x v="0"/>
    <d v="2023-01-14T00:00:00"/>
    <s v="Yes"/>
    <x v="186"/>
    <x v="0"/>
    <n v="11"/>
    <n v="1"/>
    <n v="16"/>
    <s v="No"/>
    <n v="1"/>
    <n v="32"/>
    <n v="4129.6000000000004"/>
    <x v="0"/>
  </r>
  <r>
    <x v="382"/>
    <x v="0"/>
    <x v="1"/>
    <s v="Technology"/>
    <x v="3"/>
    <n v="4"/>
    <n v="97.37"/>
    <x v="3"/>
    <x v="0"/>
    <d v="2025-02-27T00:00:00"/>
    <s v="Yes"/>
    <x v="91"/>
    <x v="3"/>
    <n v="0"/>
    <n v="4"/>
    <n v="29"/>
    <s v="No"/>
    <n v="1"/>
    <n v="8"/>
    <n v="778.96"/>
    <x v="0"/>
  </r>
  <r>
    <x v="383"/>
    <x v="3"/>
    <x v="0"/>
    <s v="Consulting"/>
    <x v="4"/>
    <n v="141"/>
    <n v="10978"/>
    <x v="4"/>
    <x v="1"/>
    <d v="2022-09-24T00:00:00"/>
    <s v="No"/>
    <x v="1"/>
    <x v="1"/>
    <n v="6"/>
    <n v="2"/>
    <n v="49"/>
    <s v="No"/>
    <n v="0"/>
    <n v="43"/>
    <n v="472054"/>
    <x v="1"/>
  </r>
  <r>
    <x v="384"/>
    <x v="1"/>
    <x v="1"/>
    <s v="Retail"/>
    <x v="4"/>
    <n v="142"/>
    <n v="546"/>
    <x v="4"/>
    <x v="0"/>
    <d v="2023-09-02T00:00:00"/>
    <s v="Yes"/>
    <x v="187"/>
    <x v="6"/>
    <n v="13"/>
    <n v="2"/>
    <n v="31"/>
    <s v="No"/>
    <n v="1"/>
    <n v="0"/>
    <n v="0"/>
    <x v="1"/>
  </r>
  <r>
    <x v="385"/>
    <x v="0"/>
    <x v="0"/>
    <s v="Real Estate"/>
    <x v="3"/>
    <n v="4"/>
    <n v="114.55"/>
    <x v="3"/>
    <x v="3"/>
    <d v="2025-08-20T00:00:00"/>
    <s v="Yes"/>
    <x v="188"/>
    <x v="4"/>
    <n v="7"/>
    <n v="1"/>
    <n v="24"/>
    <s v="No"/>
    <n v="1"/>
    <n v="3"/>
    <n v="343.65"/>
    <x v="0"/>
  </r>
  <r>
    <x v="386"/>
    <x v="1"/>
    <x v="0"/>
    <s v="Legal"/>
    <x v="3"/>
    <n v="3"/>
    <n v="37.700000000000003"/>
    <x v="3"/>
    <x v="0"/>
    <d v="2023-07-30T00:00:00"/>
    <s v="Yes"/>
    <x v="189"/>
    <x v="0"/>
    <n v="11"/>
    <n v="1"/>
    <n v="46"/>
    <s v="No"/>
    <n v="1"/>
    <n v="4"/>
    <n v="150.80000000000001"/>
    <x v="1"/>
  </r>
  <r>
    <x v="387"/>
    <x v="0"/>
    <x v="1"/>
    <s v="Consulting"/>
    <x v="2"/>
    <n v="31"/>
    <n v="369.33"/>
    <x v="2"/>
    <x v="2"/>
    <d v="2023-05-25T00:00:00"/>
    <s v="No"/>
    <x v="1"/>
    <x v="1"/>
    <n v="11"/>
    <n v="4"/>
    <n v="66"/>
    <s v="No"/>
    <n v="0"/>
    <n v="35"/>
    <n v="12926.55"/>
    <x v="2"/>
  </r>
  <r>
    <x v="388"/>
    <x v="0"/>
    <x v="1"/>
    <s v="Media"/>
    <x v="4"/>
    <n v="94"/>
    <n v="1003.89"/>
    <x v="3"/>
    <x v="3"/>
    <d v="2024-06-27T00:00:00"/>
    <s v="No"/>
    <x v="1"/>
    <x v="1"/>
    <n v="7"/>
    <n v="7"/>
    <n v="62"/>
    <s v="No"/>
    <n v="0"/>
    <n v="22"/>
    <n v="22085.579999999998"/>
    <x v="2"/>
  </r>
  <r>
    <x v="389"/>
    <x v="0"/>
    <x v="0"/>
    <s v="Manufacturing"/>
    <x v="4"/>
    <n v="38"/>
    <n v="517.45000000000005"/>
    <x v="4"/>
    <x v="0"/>
    <d v="2023-05-13T00:00:00"/>
    <s v="Yes"/>
    <x v="190"/>
    <x v="2"/>
    <n v="4"/>
    <n v="4"/>
    <n v="44"/>
    <s v="No"/>
    <n v="1"/>
    <n v="14"/>
    <n v="7244.3000000000011"/>
    <x v="1"/>
  </r>
  <r>
    <x v="390"/>
    <x v="1"/>
    <x v="1"/>
    <s v="Manufacturing"/>
    <x v="3"/>
    <n v="8"/>
    <n v="50.53"/>
    <x v="4"/>
    <x v="1"/>
    <d v="2022-10-31T00:00:00"/>
    <s v="Yes"/>
    <x v="191"/>
    <x v="6"/>
    <n v="2"/>
    <n v="6"/>
    <n v="17"/>
    <s v="No"/>
    <n v="1"/>
    <n v="19"/>
    <n v="960.07"/>
    <x v="0"/>
  </r>
  <r>
    <x v="391"/>
    <x v="1"/>
    <x v="0"/>
    <s v="Media"/>
    <x v="2"/>
    <n v="19"/>
    <n v="107.3"/>
    <x v="4"/>
    <x v="0"/>
    <d v="2024-03-10T00:00:00"/>
    <s v="Yes"/>
    <x v="192"/>
    <x v="7"/>
    <n v="9"/>
    <n v="5"/>
    <n v="18"/>
    <s v="No"/>
    <n v="1"/>
    <n v="1"/>
    <n v="107.3"/>
    <x v="0"/>
  </r>
  <r>
    <x v="392"/>
    <x v="0"/>
    <x v="0"/>
    <s v="Media"/>
    <x v="0"/>
    <n v="39"/>
    <n v="529.29999999999995"/>
    <x v="1"/>
    <x v="0"/>
    <d v="2025-02-13T00:00:00"/>
    <s v="No"/>
    <x v="1"/>
    <x v="1"/>
    <n v="1"/>
    <n v="10"/>
    <n v="49"/>
    <s v="No"/>
    <n v="0"/>
    <n v="14"/>
    <n v="7410.1999999999989"/>
    <x v="1"/>
  </r>
  <r>
    <x v="393"/>
    <x v="0"/>
    <x v="1"/>
    <s v="Real Estate"/>
    <x v="2"/>
    <n v="19"/>
    <n v="248.46"/>
    <x v="0"/>
    <x v="0"/>
    <d v="2024-03-28T00:00:00"/>
    <s v="No"/>
    <x v="1"/>
    <x v="1"/>
    <n v="5"/>
    <n v="6"/>
    <n v="23"/>
    <s v="No"/>
    <n v="0"/>
    <n v="25"/>
    <n v="6211.5"/>
    <x v="0"/>
  </r>
  <r>
    <x v="394"/>
    <x v="2"/>
    <x v="0"/>
    <s v="Finance"/>
    <x v="3"/>
    <n v="4"/>
    <n v="288.55"/>
    <x v="0"/>
    <x v="1"/>
    <d v="2024-03-12T00:00:00"/>
    <s v="No"/>
    <x v="1"/>
    <x v="1"/>
    <n v="0"/>
    <n v="4"/>
    <n v="39"/>
    <s v="No"/>
    <n v="0"/>
    <n v="25"/>
    <n v="7213.75"/>
    <x v="1"/>
  </r>
  <r>
    <x v="395"/>
    <x v="0"/>
    <x v="0"/>
    <s v="Education"/>
    <x v="3"/>
    <n v="7"/>
    <n v="150.1"/>
    <x v="3"/>
    <x v="1"/>
    <d v="2023-10-18T00:00:00"/>
    <s v="No"/>
    <x v="1"/>
    <x v="1"/>
    <n v="3"/>
    <n v="7"/>
    <n v="73"/>
    <s v="No"/>
    <n v="0"/>
    <n v="30"/>
    <n v="4503"/>
    <x v="2"/>
  </r>
  <r>
    <x v="396"/>
    <x v="1"/>
    <x v="1"/>
    <s v="Real Estate"/>
    <x v="2"/>
    <n v="5"/>
    <n v="39.44"/>
    <x v="0"/>
    <x v="1"/>
    <d v="2024-08-14T00:00:00"/>
    <s v="Yes"/>
    <x v="114"/>
    <x v="5"/>
    <n v="2"/>
    <n v="1"/>
    <n v="39"/>
    <s v="No"/>
    <n v="1"/>
    <n v="2"/>
    <n v="78.88"/>
    <x v="1"/>
  </r>
  <r>
    <x v="397"/>
    <x v="2"/>
    <x v="1"/>
    <s v="Finance"/>
    <x v="1"/>
    <n v="252"/>
    <n v="6537.65"/>
    <x v="0"/>
    <x v="0"/>
    <d v="2023-04-28T00:00:00"/>
    <s v="Yes"/>
    <x v="193"/>
    <x v="0"/>
    <n v="9"/>
    <n v="6"/>
    <n v="44"/>
    <s v="No"/>
    <n v="1"/>
    <n v="0"/>
    <n v="0"/>
    <x v="1"/>
  </r>
  <r>
    <x v="398"/>
    <x v="2"/>
    <x v="1"/>
    <s v="Real Estate"/>
    <x v="4"/>
    <n v="86"/>
    <n v="2325.81"/>
    <x v="4"/>
    <x v="0"/>
    <d v="2023-10-10T00:00:00"/>
    <s v="Yes"/>
    <x v="194"/>
    <x v="3"/>
    <n v="0"/>
    <n v="2"/>
    <n v="11"/>
    <s v="No"/>
    <n v="1"/>
    <n v="25"/>
    <n v="58145.25"/>
    <x v="0"/>
  </r>
  <r>
    <x v="399"/>
    <x v="1"/>
    <x v="1"/>
    <s v="Education"/>
    <x v="3"/>
    <n v="5"/>
    <n v="39.44"/>
    <x v="2"/>
    <x v="0"/>
    <d v="2022-07-29T00:00:00"/>
    <s v="Yes"/>
    <x v="98"/>
    <x v="4"/>
    <n v="3"/>
    <n v="1"/>
    <n v="34"/>
    <s v="No"/>
    <n v="1"/>
    <n v="23"/>
    <n v="907.11999999999989"/>
    <x v="1"/>
  </r>
  <r>
    <x v="400"/>
    <x v="2"/>
    <x v="1"/>
    <s v="Healthcare"/>
    <x v="3"/>
    <n v="7"/>
    <n v="321.38"/>
    <x v="0"/>
    <x v="0"/>
    <d v="2024-11-06T00:00:00"/>
    <s v="No"/>
    <x v="1"/>
    <x v="1"/>
    <n v="9"/>
    <n v="9"/>
    <n v="30"/>
    <s v="No"/>
    <n v="0"/>
    <n v="17"/>
    <n v="5463.46"/>
    <x v="1"/>
  </r>
  <r>
    <x v="401"/>
    <x v="0"/>
    <x v="1"/>
    <s v="Media"/>
    <x v="0"/>
    <n v="34"/>
    <n v="399.54"/>
    <x v="3"/>
    <x v="1"/>
    <d v="2022-04-04T00:00:00"/>
    <s v="Yes"/>
    <x v="195"/>
    <x v="5"/>
    <n v="14"/>
    <n v="1"/>
    <n v="34"/>
    <s v="No"/>
    <n v="1"/>
    <n v="28"/>
    <n v="11187.12"/>
    <x v="1"/>
  </r>
  <r>
    <x v="402"/>
    <x v="2"/>
    <x v="0"/>
    <s v="Consulting"/>
    <x v="3"/>
    <n v="8"/>
    <n v="407.95"/>
    <x v="0"/>
    <x v="0"/>
    <d v="2023-01-22T00:00:00"/>
    <s v="Yes"/>
    <x v="143"/>
    <x v="2"/>
    <n v="13"/>
    <n v="5"/>
    <n v="25"/>
    <s v="No"/>
    <n v="1"/>
    <n v="19"/>
    <n v="7751.05"/>
    <x v="0"/>
  </r>
  <r>
    <x v="403"/>
    <x v="2"/>
    <x v="0"/>
    <s v="Healthcare"/>
    <x v="0"/>
    <n v="43"/>
    <n v="1452.7"/>
    <x v="2"/>
    <x v="0"/>
    <d v="2025-09-25T00:00:00"/>
    <s v="No"/>
    <x v="1"/>
    <x v="1"/>
    <n v="4"/>
    <n v="5"/>
    <n v="79"/>
    <s v="No"/>
    <n v="0"/>
    <n v="7"/>
    <n v="10168.9"/>
    <x v="2"/>
  </r>
  <r>
    <x v="404"/>
    <x v="2"/>
    <x v="0"/>
    <s v="Manufacturing"/>
    <x v="2"/>
    <n v="7"/>
    <n v="378.1"/>
    <x v="4"/>
    <x v="0"/>
    <d v="2025-02-23T00:00:00"/>
    <s v="No"/>
    <x v="1"/>
    <x v="1"/>
    <n v="11"/>
    <n v="1"/>
    <n v="29"/>
    <s v="Yes"/>
    <n v="0"/>
    <n v="14"/>
    <n v="5293.4000000000005"/>
    <x v="0"/>
  </r>
  <r>
    <x v="405"/>
    <x v="2"/>
    <x v="0"/>
    <s v="Retail"/>
    <x v="0"/>
    <n v="29"/>
    <n v="1034.8"/>
    <x v="1"/>
    <x v="0"/>
    <d v="2023-02-22T00:00:00"/>
    <s v="Yes"/>
    <x v="196"/>
    <x v="7"/>
    <n v="14"/>
    <n v="4"/>
    <n v="41"/>
    <s v="No"/>
    <n v="1"/>
    <n v="31"/>
    <n v="32078.799999999999"/>
    <x v="1"/>
  </r>
  <r>
    <x v="406"/>
    <x v="0"/>
    <x v="1"/>
    <s v="Consulting"/>
    <x v="1"/>
    <n v="115"/>
    <n v="1215.4100000000001"/>
    <x v="3"/>
    <x v="1"/>
    <d v="2022-09-12T00:00:00"/>
    <s v="Yes"/>
    <x v="197"/>
    <x v="7"/>
    <n v="7"/>
    <n v="4"/>
    <n v="48"/>
    <s v="No"/>
    <n v="1"/>
    <n v="6"/>
    <n v="7292.4600000000009"/>
    <x v="1"/>
  </r>
  <r>
    <x v="407"/>
    <x v="1"/>
    <x v="0"/>
    <s v="Finance"/>
    <x v="0"/>
    <n v="75"/>
    <n v="350.9"/>
    <x v="4"/>
    <x v="0"/>
    <d v="2025-10-14T00:00:00"/>
    <s v="No"/>
    <x v="1"/>
    <x v="1"/>
    <n v="10"/>
    <n v="8"/>
    <n v="92"/>
    <s v="No"/>
    <n v="0"/>
    <n v="6"/>
    <n v="2105.3999999999996"/>
    <x v="2"/>
  </r>
  <r>
    <x v="408"/>
    <x v="1"/>
    <x v="0"/>
    <s v="Manufacturing"/>
    <x v="3"/>
    <n v="8"/>
    <n v="59.45"/>
    <x v="3"/>
    <x v="0"/>
    <d v="2025-04-01T00:00:00"/>
    <s v="Yes"/>
    <x v="83"/>
    <x v="2"/>
    <n v="11"/>
    <n v="2"/>
    <n v="27"/>
    <s v="No"/>
    <n v="1"/>
    <n v="0"/>
    <n v="0"/>
    <x v="0"/>
  </r>
  <r>
    <x v="409"/>
    <x v="0"/>
    <x v="0"/>
    <s v="Legal"/>
    <x v="4"/>
    <n v="125"/>
    <n v="1548.4"/>
    <x v="3"/>
    <x v="0"/>
    <d v="2022-03-17T00:00:00"/>
    <s v="Yes"/>
    <x v="198"/>
    <x v="0"/>
    <n v="14"/>
    <n v="4"/>
    <n v="12"/>
    <s v="No"/>
    <n v="1"/>
    <n v="15"/>
    <n v="23226"/>
    <x v="0"/>
  </r>
  <r>
    <x v="410"/>
    <x v="0"/>
    <x v="0"/>
    <s v="Finance"/>
    <x v="4"/>
    <n v="92"/>
    <n v="1157.3499999999999"/>
    <x v="4"/>
    <x v="1"/>
    <d v="2024-08-28T00:00:00"/>
    <s v="Yes"/>
    <x v="199"/>
    <x v="0"/>
    <n v="13"/>
    <n v="1"/>
    <n v="18"/>
    <s v="No"/>
    <n v="1"/>
    <n v="13"/>
    <n v="15045.55"/>
    <x v="0"/>
  </r>
  <r>
    <x v="411"/>
    <x v="0"/>
    <x v="0"/>
    <s v="Healthcare"/>
    <x v="0"/>
    <n v="45"/>
    <n v="600.4"/>
    <x v="4"/>
    <x v="0"/>
    <d v="2022-11-25T00:00:00"/>
    <s v="Yes"/>
    <x v="200"/>
    <x v="6"/>
    <n v="8"/>
    <n v="4"/>
    <n v="24"/>
    <s v="No"/>
    <n v="1"/>
    <n v="6"/>
    <n v="3602.3999999999996"/>
    <x v="0"/>
  </r>
  <r>
    <x v="412"/>
    <x v="2"/>
    <x v="1"/>
    <s v="Real Estate"/>
    <x v="4"/>
    <n v="49"/>
    <n v="1387.03"/>
    <x v="2"/>
    <x v="2"/>
    <d v="2022-10-13T00:00:00"/>
    <s v="No"/>
    <x v="1"/>
    <x v="1"/>
    <n v="0"/>
    <n v="9"/>
    <n v="95"/>
    <s v="No"/>
    <n v="0"/>
    <n v="42"/>
    <n v="58255.26"/>
    <x v="2"/>
  </r>
  <r>
    <x v="413"/>
    <x v="2"/>
    <x v="0"/>
    <s v="Real Estate"/>
    <x v="4"/>
    <n v="137"/>
    <n v="4258.6000000000004"/>
    <x v="3"/>
    <x v="2"/>
    <d v="2023-07-23T00:00:00"/>
    <s v="Yes"/>
    <x v="201"/>
    <x v="7"/>
    <n v="15"/>
    <n v="1"/>
    <n v="25"/>
    <s v="No"/>
    <n v="1"/>
    <n v="12"/>
    <n v="51103.200000000004"/>
    <x v="0"/>
  </r>
  <r>
    <x v="414"/>
    <x v="1"/>
    <x v="0"/>
    <s v="Retail"/>
    <x v="2"/>
    <n v="13"/>
    <n v="81.2"/>
    <x v="5"/>
    <x v="1"/>
    <d v="2024-09-08T00:00:00"/>
    <s v="Yes"/>
    <x v="202"/>
    <x v="3"/>
    <n v="7"/>
    <n v="3"/>
    <n v="45"/>
    <s v="No"/>
    <n v="1"/>
    <n v="1"/>
    <n v="81.2"/>
    <x v="1"/>
  </r>
  <r>
    <x v="415"/>
    <x v="2"/>
    <x v="1"/>
    <s v="Manufacturing"/>
    <x v="2"/>
    <n v="14"/>
    <n v="498.99"/>
    <x v="5"/>
    <x v="1"/>
    <d v="2025-02-18T00:00:00"/>
    <s v="Yes"/>
    <x v="203"/>
    <x v="7"/>
    <n v="13"/>
    <n v="1"/>
    <n v="33"/>
    <s v="No"/>
    <n v="1"/>
    <n v="3"/>
    <n v="1496.97"/>
    <x v="1"/>
  </r>
  <r>
    <x v="416"/>
    <x v="1"/>
    <x v="1"/>
    <s v="Real Estate"/>
    <x v="2"/>
    <n v="18"/>
    <n v="87.51"/>
    <x v="0"/>
    <x v="3"/>
    <d v="2024-08-17T00:00:00"/>
    <s v="Yes"/>
    <x v="204"/>
    <x v="0"/>
    <n v="10"/>
    <n v="1"/>
    <n v="36"/>
    <s v="No"/>
    <n v="1"/>
    <n v="2"/>
    <n v="175.02"/>
    <x v="1"/>
  </r>
  <r>
    <x v="417"/>
    <x v="1"/>
    <x v="0"/>
    <s v="Consulting"/>
    <x v="3"/>
    <n v="2"/>
    <n v="33.35"/>
    <x v="5"/>
    <x v="3"/>
    <d v="2022-10-05T00:00:00"/>
    <s v="Yes"/>
    <x v="205"/>
    <x v="3"/>
    <n v="11"/>
    <n v="1"/>
    <n v="37"/>
    <s v="No"/>
    <n v="1"/>
    <n v="8"/>
    <n v="266.8"/>
    <x v="1"/>
  </r>
  <r>
    <x v="418"/>
    <x v="0"/>
    <x v="1"/>
    <s v="Manufacturing"/>
    <x v="4"/>
    <n v="143"/>
    <n v="1497.45"/>
    <x v="0"/>
    <x v="1"/>
    <d v="2022-04-04T00:00:00"/>
    <s v="No"/>
    <x v="1"/>
    <x v="1"/>
    <n v="2"/>
    <n v="9"/>
    <n v="29"/>
    <s v="Yes"/>
    <n v="0"/>
    <n v="48"/>
    <n v="71877.600000000006"/>
    <x v="0"/>
  </r>
  <r>
    <x v="419"/>
    <x v="0"/>
    <x v="0"/>
    <s v="Retail"/>
    <x v="3"/>
    <n v="8"/>
    <n v="161.94999999999999"/>
    <x v="3"/>
    <x v="0"/>
    <d v="2022-03-07T00:00:00"/>
    <s v="Yes"/>
    <x v="206"/>
    <x v="7"/>
    <n v="7"/>
    <n v="2"/>
    <n v="10"/>
    <s v="No"/>
    <n v="1"/>
    <n v="23"/>
    <n v="3724.85"/>
    <x v="0"/>
  </r>
  <r>
    <x v="420"/>
    <x v="0"/>
    <x v="0"/>
    <s v="Manufacturing"/>
    <x v="1"/>
    <n v="185"/>
    <n v="2259.4"/>
    <x v="4"/>
    <x v="0"/>
    <d v="2022-09-26T00:00:00"/>
    <s v="Yes"/>
    <x v="207"/>
    <x v="2"/>
    <n v="10"/>
    <n v="6"/>
    <n v="29"/>
    <s v="No"/>
    <n v="1"/>
    <n v="4"/>
    <n v="9037.6"/>
    <x v="0"/>
  </r>
  <r>
    <x v="421"/>
    <x v="0"/>
    <x v="0"/>
    <s v="Consulting"/>
    <x v="0"/>
    <n v="59"/>
    <n v="766.3"/>
    <x v="5"/>
    <x v="0"/>
    <d v="2023-04-14T00:00:00"/>
    <s v="No"/>
    <x v="1"/>
    <x v="1"/>
    <n v="3"/>
    <n v="7"/>
    <n v="92"/>
    <s v="Yes"/>
    <n v="0"/>
    <n v="36"/>
    <n v="27586.799999999999"/>
    <x v="2"/>
  </r>
  <r>
    <x v="422"/>
    <x v="1"/>
    <x v="0"/>
    <s v="Manufacturing"/>
    <x v="2"/>
    <n v="15"/>
    <n v="89.9"/>
    <x v="3"/>
    <x v="1"/>
    <d v="2023-10-29T00:00:00"/>
    <s v="Yes"/>
    <x v="208"/>
    <x v="0"/>
    <n v="4"/>
    <n v="5"/>
    <n v="20"/>
    <s v="No"/>
    <n v="1"/>
    <n v="7"/>
    <n v="629.30000000000007"/>
    <x v="0"/>
  </r>
  <r>
    <x v="423"/>
    <x v="1"/>
    <x v="0"/>
    <s v="Media"/>
    <x v="3"/>
    <n v="5"/>
    <n v="46.4"/>
    <x v="3"/>
    <x v="1"/>
    <d v="2023-04-25T00:00:00"/>
    <s v="Yes"/>
    <x v="209"/>
    <x v="4"/>
    <n v="11"/>
    <n v="6"/>
    <n v="50"/>
    <s v="No"/>
    <n v="1"/>
    <n v="15"/>
    <n v="696"/>
    <x v="1"/>
  </r>
  <r>
    <x v="424"/>
    <x v="1"/>
    <x v="0"/>
    <s v="Technology"/>
    <x v="3"/>
    <n v="6"/>
    <n v="50.75"/>
    <x v="3"/>
    <x v="2"/>
    <d v="2025-03-15T00:00:00"/>
    <s v="Yes"/>
    <x v="210"/>
    <x v="6"/>
    <n v="6"/>
    <n v="2"/>
    <n v="22"/>
    <s v="No"/>
    <n v="1"/>
    <n v="4"/>
    <n v="203"/>
    <x v="0"/>
  </r>
  <r>
    <x v="425"/>
    <x v="2"/>
    <x v="0"/>
    <s v="Education"/>
    <x v="3"/>
    <n v="7"/>
    <n v="378.1"/>
    <x v="0"/>
    <x v="0"/>
    <d v="2024-03-06T00:00:00"/>
    <s v="No"/>
    <x v="1"/>
    <x v="1"/>
    <n v="10"/>
    <n v="10"/>
    <n v="68"/>
    <s v="Yes"/>
    <n v="0"/>
    <n v="25"/>
    <n v="9452.5"/>
    <x v="2"/>
  </r>
  <r>
    <x v="426"/>
    <x v="1"/>
    <x v="1"/>
    <s v="Real Estate"/>
    <x v="0"/>
    <n v="79"/>
    <n v="313.05"/>
    <x v="4"/>
    <x v="3"/>
    <d v="2024-12-25T00:00:00"/>
    <s v="No"/>
    <x v="1"/>
    <x v="1"/>
    <n v="6"/>
    <n v="7"/>
    <n v="37"/>
    <s v="No"/>
    <n v="0"/>
    <n v="16"/>
    <n v="5008.8"/>
    <x v="1"/>
  </r>
  <r>
    <x v="427"/>
    <x v="1"/>
    <x v="0"/>
    <s v="Real Estate"/>
    <x v="2"/>
    <n v="11"/>
    <n v="72.5"/>
    <x v="0"/>
    <x v="0"/>
    <d v="2025-10-18T00:00:00"/>
    <s v="No"/>
    <x v="1"/>
    <x v="1"/>
    <n v="1"/>
    <n v="4"/>
    <n v="24"/>
    <s v="No"/>
    <n v="0"/>
    <n v="6"/>
    <n v="435"/>
    <x v="0"/>
  </r>
  <r>
    <x v="428"/>
    <x v="0"/>
    <x v="0"/>
    <s v="Media"/>
    <x v="2"/>
    <n v="15"/>
    <n v="244.9"/>
    <x v="4"/>
    <x v="1"/>
    <d v="2025-06-09T00:00:00"/>
    <s v="No"/>
    <x v="1"/>
    <x v="1"/>
    <n v="8"/>
    <n v="5"/>
    <n v="32"/>
    <s v="No"/>
    <n v="0"/>
    <n v="10"/>
    <n v="2449"/>
    <x v="1"/>
  </r>
  <r>
    <x v="429"/>
    <x v="2"/>
    <x v="0"/>
    <s v="Education"/>
    <x v="2"/>
    <n v="20"/>
    <n v="766.15"/>
    <x v="3"/>
    <x v="1"/>
    <d v="2025-11-05T00:00:00"/>
    <s v="No"/>
    <x v="1"/>
    <x v="1"/>
    <n v="2"/>
    <n v="9"/>
    <n v="39"/>
    <s v="No"/>
    <n v="0"/>
    <n v="5"/>
    <n v="3830.75"/>
    <x v="1"/>
  </r>
  <r>
    <x v="430"/>
    <x v="1"/>
    <x v="1"/>
    <s v="Real Estate"/>
    <x v="2"/>
    <n v="27"/>
    <n v="120.78"/>
    <x v="0"/>
    <x v="2"/>
    <d v="2025-10-03T00:00:00"/>
    <s v="No"/>
    <x v="1"/>
    <x v="1"/>
    <n v="3"/>
    <n v="8"/>
    <n v="22"/>
    <s v="No"/>
    <n v="0"/>
    <n v="6"/>
    <n v="724.68000000000006"/>
    <x v="0"/>
  </r>
  <r>
    <x v="431"/>
    <x v="0"/>
    <x v="1"/>
    <s v="Education"/>
    <x v="0"/>
    <n v="28"/>
    <n v="339.11"/>
    <x v="0"/>
    <x v="0"/>
    <d v="2025-05-10T00:00:00"/>
    <s v="No"/>
    <x v="1"/>
    <x v="1"/>
    <n v="2"/>
    <n v="1"/>
    <n v="51"/>
    <s v="No"/>
    <n v="0"/>
    <n v="11"/>
    <n v="3730.21"/>
    <x v="1"/>
  </r>
  <r>
    <x v="432"/>
    <x v="3"/>
    <x v="0"/>
    <s v="Real Estate"/>
    <x v="2"/>
    <n v="25"/>
    <n v="2295.4"/>
    <x v="0"/>
    <x v="0"/>
    <d v="2023-08-13T00:00:00"/>
    <s v="Yes"/>
    <x v="211"/>
    <x v="6"/>
    <n v="1"/>
    <n v="1"/>
    <n v="34"/>
    <s v="No"/>
    <n v="1"/>
    <n v="6"/>
    <n v="13772.400000000001"/>
    <x v="1"/>
  </r>
  <r>
    <x v="433"/>
    <x v="1"/>
    <x v="1"/>
    <s v="Real Estate"/>
    <x v="1"/>
    <n v="222"/>
    <n v="841.8"/>
    <x v="3"/>
    <x v="0"/>
    <d v="2022-10-17T00:00:00"/>
    <s v="Yes"/>
    <x v="212"/>
    <x v="2"/>
    <n v="8"/>
    <n v="2"/>
    <n v="47"/>
    <s v="No"/>
    <n v="1"/>
    <n v="25"/>
    <n v="21045"/>
    <x v="1"/>
  </r>
  <r>
    <x v="434"/>
    <x v="1"/>
    <x v="0"/>
    <s v="Retail"/>
    <x v="3"/>
    <n v="4"/>
    <n v="42.05"/>
    <x v="3"/>
    <x v="3"/>
    <d v="2023-02-09T00:00:00"/>
    <s v="Yes"/>
    <x v="213"/>
    <x v="2"/>
    <n v="5"/>
    <n v="3"/>
    <n v="10"/>
    <s v="No"/>
    <n v="1"/>
    <n v="6"/>
    <n v="252.29999999999998"/>
    <x v="0"/>
  </r>
  <r>
    <x v="435"/>
    <x v="2"/>
    <x v="1"/>
    <s v="Finance"/>
    <x v="0"/>
    <n v="48"/>
    <n v="1361.66"/>
    <x v="4"/>
    <x v="3"/>
    <d v="2022-12-11T00:00:00"/>
    <s v="Yes"/>
    <x v="214"/>
    <x v="5"/>
    <n v="7"/>
    <n v="1"/>
    <n v="28"/>
    <s v="No"/>
    <n v="1"/>
    <n v="22"/>
    <n v="29956.52"/>
    <x v="0"/>
  </r>
  <r>
    <x v="436"/>
    <x v="1"/>
    <x v="0"/>
    <s v="Education"/>
    <x v="2"/>
    <n v="6"/>
    <n v="50.75"/>
    <x v="3"/>
    <x v="2"/>
    <d v="2023-04-10T00:00:00"/>
    <s v="Yes"/>
    <x v="215"/>
    <x v="2"/>
    <n v="5"/>
    <n v="3"/>
    <n v="18"/>
    <s v="No"/>
    <n v="1"/>
    <n v="1"/>
    <n v="50.75"/>
    <x v="0"/>
  </r>
  <r>
    <x v="437"/>
    <x v="1"/>
    <x v="1"/>
    <s v="Technology"/>
    <x v="0"/>
    <n v="44"/>
    <n v="183.64"/>
    <x v="4"/>
    <x v="1"/>
    <d v="2024-11-01T00:00:00"/>
    <s v="Yes"/>
    <x v="216"/>
    <x v="0"/>
    <n v="5"/>
    <n v="6"/>
    <n v="31"/>
    <s v="No"/>
    <n v="1"/>
    <n v="0"/>
    <n v="0"/>
    <x v="1"/>
  </r>
  <r>
    <x v="438"/>
    <x v="2"/>
    <x v="0"/>
    <s v="Consulting"/>
    <x v="1"/>
    <n v="62"/>
    <n v="2019.85"/>
    <x v="1"/>
    <x v="1"/>
    <d v="2025-06-08T00:00:00"/>
    <s v="Yes"/>
    <x v="217"/>
    <x v="5"/>
    <n v="9"/>
    <n v="4"/>
    <n v="34"/>
    <s v="No"/>
    <n v="1"/>
    <n v="1"/>
    <n v="2019.85"/>
    <x v="1"/>
  </r>
  <r>
    <x v="439"/>
    <x v="2"/>
    <x v="1"/>
    <s v="Healthcare"/>
    <x v="3"/>
    <n v="8"/>
    <n v="346.76"/>
    <x v="3"/>
    <x v="3"/>
    <d v="2025-12-01T00:00:00"/>
    <s v="No"/>
    <x v="1"/>
    <x v="1"/>
    <n v="1"/>
    <n v="10"/>
    <n v="50"/>
    <s v="No"/>
    <n v="0"/>
    <n v="5"/>
    <n v="1733.8"/>
    <x v="1"/>
  </r>
  <r>
    <x v="440"/>
    <x v="0"/>
    <x v="1"/>
    <s v="Real Estate"/>
    <x v="4"/>
    <n v="88"/>
    <n v="943.46"/>
    <x v="4"/>
    <x v="0"/>
    <d v="2023-08-13T00:00:00"/>
    <s v="Yes"/>
    <x v="48"/>
    <x v="3"/>
    <n v="8"/>
    <n v="4"/>
    <n v="44"/>
    <s v="No"/>
    <n v="1"/>
    <n v="5"/>
    <n v="4717.3"/>
    <x v="1"/>
  </r>
  <r>
    <x v="441"/>
    <x v="2"/>
    <x v="1"/>
    <s v="Healthcare"/>
    <x v="0"/>
    <n v="54"/>
    <n v="1513.89"/>
    <x v="4"/>
    <x v="2"/>
    <d v="2024-04-05T00:00:00"/>
    <s v="No"/>
    <x v="1"/>
    <x v="1"/>
    <n v="10"/>
    <n v="10"/>
    <n v="33"/>
    <s v="Yes"/>
    <n v="0"/>
    <n v="24"/>
    <n v="36333.360000000001"/>
    <x v="1"/>
  </r>
  <r>
    <x v="442"/>
    <x v="0"/>
    <x v="0"/>
    <s v="Legal"/>
    <x v="0"/>
    <n v="58"/>
    <n v="754.45"/>
    <x v="0"/>
    <x v="0"/>
    <d v="2023-06-28T00:00:00"/>
    <s v="No"/>
    <x v="1"/>
    <x v="1"/>
    <n v="11"/>
    <n v="5"/>
    <n v="84"/>
    <s v="No"/>
    <n v="0"/>
    <n v="34"/>
    <n v="25651.300000000003"/>
    <x v="2"/>
  </r>
  <r>
    <x v="443"/>
    <x v="2"/>
    <x v="0"/>
    <s v="Education"/>
    <x v="3"/>
    <n v="5"/>
    <n v="318.39999999999998"/>
    <x v="0"/>
    <x v="3"/>
    <d v="2023-10-24T00:00:00"/>
    <s v="No"/>
    <x v="1"/>
    <x v="1"/>
    <n v="9"/>
    <n v="9"/>
    <n v="59"/>
    <s v="Yes"/>
    <n v="0"/>
    <n v="30"/>
    <n v="9552"/>
    <x v="1"/>
  </r>
  <r>
    <x v="444"/>
    <x v="1"/>
    <x v="0"/>
    <s v="Real Estate"/>
    <x v="1"/>
    <n v="254"/>
    <n v="1129.55"/>
    <x v="3"/>
    <x v="0"/>
    <d v="2025-05-02T00:00:00"/>
    <s v="No"/>
    <x v="1"/>
    <x v="1"/>
    <n v="2"/>
    <n v="7"/>
    <n v="42"/>
    <s v="No"/>
    <n v="0"/>
    <n v="11"/>
    <n v="12425.05"/>
    <x v="1"/>
  </r>
  <r>
    <x v="445"/>
    <x v="2"/>
    <x v="0"/>
    <s v="Technology"/>
    <x v="0"/>
    <n v="30"/>
    <n v="1064.6500000000001"/>
    <x v="4"/>
    <x v="1"/>
    <d v="2023-05-26T00:00:00"/>
    <s v="Yes"/>
    <x v="161"/>
    <x v="0"/>
    <n v="10"/>
    <n v="3"/>
    <n v="44"/>
    <s v="No"/>
    <n v="1"/>
    <n v="9"/>
    <n v="9581.85"/>
    <x v="1"/>
  </r>
  <r>
    <x v="446"/>
    <x v="1"/>
    <x v="0"/>
    <s v="Technology"/>
    <x v="3"/>
    <n v="5"/>
    <n v="46.4"/>
    <x v="1"/>
    <x v="2"/>
    <d v="2023-10-17T00:00:00"/>
    <s v="No"/>
    <x v="1"/>
    <x v="1"/>
    <n v="0"/>
    <n v="9"/>
    <n v="46"/>
    <s v="No"/>
    <n v="0"/>
    <n v="30"/>
    <n v="1392"/>
    <x v="1"/>
  </r>
  <r>
    <x v="447"/>
    <x v="2"/>
    <x v="0"/>
    <s v="Education"/>
    <x v="2"/>
    <n v="31"/>
    <n v="1094.5"/>
    <x v="4"/>
    <x v="0"/>
    <d v="2025-01-01T00:00:00"/>
    <s v="No"/>
    <x v="1"/>
    <x v="1"/>
    <n v="1"/>
    <n v="9"/>
    <n v="69"/>
    <s v="No"/>
    <n v="0"/>
    <n v="16"/>
    <n v="17512"/>
    <x v="2"/>
  </r>
  <r>
    <x v="448"/>
    <x v="2"/>
    <x v="0"/>
    <s v="Healthcare"/>
    <x v="1"/>
    <n v="71"/>
    <n v="2288.5"/>
    <x v="4"/>
    <x v="1"/>
    <d v="2024-02-12T00:00:00"/>
    <s v="Yes"/>
    <x v="218"/>
    <x v="6"/>
    <n v="7"/>
    <n v="2"/>
    <n v="24"/>
    <s v="No"/>
    <n v="1"/>
    <n v="0"/>
    <n v="0"/>
    <x v="0"/>
  </r>
  <r>
    <x v="449"/>
    <x v="0"/>
    <x v="1"/>
    <s v="Retail"/>
    <x v="2"/>
    <n v="8"/>
    <n v="137.66"/>
    <x v="2"/>
    <x v="0"/>
    <d v="2025-12-28T00:00:00"/>
    <s v="No"/>
    <x v="1"/>
    <x v="1"/>
    <n v="0"/>
    <n v="8"/>
    <n v="38"/>
    <s v="No"/>
    <n v="0"/>
    <n v="4"/>
    <n v="550.64"/>
    <x v="1"/>
  </r>
  <r>
    <x v="450"/>
    <x v="2"/>
    <x v="0"/>
    <s v="Legal"/>
    <x v="2"/>
    <n v="27"/>
    <n v="975.1"/>
    <x v="2"/>
    <x v="0"/>
    <d v="2023-03-01T00:00:00"/>
    <s v="No"/>
    <x v="1"/>
    <x v="1"/>
    <n v="3"/>
    <n v="4"/>
    <n v="89"/>
    <s v="No"/>
    <n v="0"/>
    <n v="38"/>
    <n v="37053.800000000003"/>
    <x v="2"/>
  </r>
  <r>
    <x v="451"/>
    <x v="0"/>
    <x v="0"/>
    <s v="Technology"/>
    <x v="2"/>
    <n v="12"/>
    <n v="209.35"/>
    <x v="4"/>
    <x v="0"/>
    <d v="2025-06-13T00:00:00"/>
    <s v="No"/>
    <x v="1"/>
    <x v="1"/>
    <n v="2"/>
    <n v="7"/>
    <n v="82"/>
    <s v="No"/>
    <n v="0"/>
    <n v="10"/>
    <n v="2093.5"/>
    <x v="2"/>
  </r>
  <r>
    <x v="452"/>
    <x v="1"/>
    <x v="0"/>
    <s v="Retail"/>
    <x v="3"/>
    <n v="1"/>
    <n v="29"/>
    <x v="1"/>
    <x v="3"/>
    <d v="2023-09-24T00:00:00"/>
    <s v="Yes"/>
    <x v="219"/>
    <x v="5"/>
    <n v="2"/>
    <n v="1"/>
    <n v="27"/>
    <s v="No"/>
    <n v="1"/>
    <n v="0"/>
    <n v="0"/>
    <x v="0"/>
  </r>
  <r>
    <x v="453"/>
    <x v="1"/>
    <x v="0"/>
    <s v="Media"/>
    <x v="3"/>
    <n v="1"/>
    <n v="29"/>
    <x v="4"/>
    <x v="1"/>
    <d v="2025-07-09T00:00:00"/>
    <s v="Yes"/>
    <x v="220"/>
    <x v="4"/>
    <n v="12"/>
    <n v="3"/>
    <n v="49"/>
    <s v="No"/>
    <n v="1"/>
    <n v="4"/>
    <n v="116"/>
    <x v="1"/>
  </r>
  <r>
    <x v="454"/>
    <x v="1"/>
    <x v="0"/>
    <s v="Healthcare"/>
    <x v="2"/>
    <n v="8"/>
    <n v="59.45"/>
    <x v="0"/>
    <x v="1"/>
    <d v="2025-08-31T00:00:00"/>
    <s v="No"/>
    <x v="1"/>
    <x v="1"/>
    <n v="4"/>
    <n v="7"/>
    <n v="34"/>
    <s v="No"/>
    <n v="0"/>
    <n v="8"/>
    <n v="475.6"/>
    <x v="1"/>
  </r>
  <r>
    <x v="455"/>
    <x v="0"/>
    <x v="1"/>
    <s v="Education"/>
    <x v="3"/>
    <n v="4"/>
    <n v="97.37"/>
    <x v="1"/>
    <x v="0"/>
    <d v="2023-05-17T00:00:00"/>
    <s v="No"/>
    <x v="1"/>
    <x v="1"/>
    <n v="6"/>
    <n v="8"/>
    <n v="53"/>
    <s v="No"/>
    <n v="0"/>
    <n v="35"/>
    <n v="3407.9500000000003"/>
    <x v="1"/>
  </r>
  <r>
    <x v="456"/>
    <x v="0"/>
    <x v="1"/>
    <s v="Legal"/>
    <x v="0"/>
    <n v="39"/>
    <n v="449.9"/>
    <x v="1"/>
    <x v="2"/>
    <d v="2024-03-29T00:00:00"/>
    <s v="No"/>
    <x v="1"/>
    <x v="1"/>
    <n v="0"/>
    <n v="5"/>
    <n v="58"/>
    <s v="No"/>
    <n v="0"/>
    <n v="25"/>
    <n v="11247.5"/>
    <x v="1"/>
  </r>
  <r>
    <x v="457"/>
    <x v="2"/>
    <x v="1"/>
    <s v="Manufacturing"/>
    <x v="4"/>
    <n v="73"/>
    <n v="1995.97"/>
    <x v="3"/>
    <x v="0"/>
    <d v="2025-04-02T00:00:00"/>
    <s v="No"/>
    <x v="1"/>
    <x v="1"/>
    <n v="12"/>
    <n v="1"/>
    <n v="15"/>
    <s v="Yes"/>
    <n v="0"/>
    <n v="12"/>
    <n v="23951.64"/>
    <x v="0"/>
  </r>
  <r>
    <x v="458"/>
    <x v="0"/>
    <x v="0"/>
    <s v="Real Estate"/>
    <x v="2"/>
    <n v="7"/>
    <n v="150.1"/>
    <x v="2"/>
    <x v="0"/>
    <d v="2022-12-20T00:00:00"/>
    <s v="Yes"/>
    <x v="221"/>
    <x v="7"/>
    <n v="5"/>
    <n v="2"/>
    <n v="12"/>
    <s v="No"/>
    <n v="1"/>
    <n v="10"/>
    <n v="1501"/>
    <x v="0"/>
  </r>
  <r>
    <x v="459"/>
    <x v="2"/>
    <x v="1"/>
    <s v="Finance"/>
    <x v="2"/>
    <n v="33"/>
    <n v="981.07"/>
    <x v="2"/>
    <x v="2"/>
    <d v="2023-02-07T00:00:00"/>
    <s v="No"/>
    <x v="1"/>
    <x v="1"/>
    <n v="1"/>
    <n v="8"/>
    <n v="89"/>
    <s v="No"/>
    <n v="0"/>
    <n v="38"/>
    <n v="37280.660000000003"/>
    <x v="2"/>
  </r>
  <r>
    <x v="460"/>
    <x v="1"/>
    <x v="0"/>
    <s v="Education"/>
    <x v="3"/>
    <n v="3"/>
    <n v="37.700000000000003"/>
    <x v="2"/>
    <x v="1"/>
    <d v="2025-01-03T00:00:00"/>
    <s v="No"/>
    <x v="1"/>
    <x v="1"/>
    <n v="10"/>
    <n v="7"/>
    <n v="60"/>
    <s v="No"/>
    <n v="0"/>
    <n v="15"/>
    <n v="565.5"/>
    <x v="2"/>
  </r>
  <r>
    <x v="461"/>
    <x v="0"/>
    <x v="1"/>
    <s v="Education"/>
    <x v="3"/>
    <n v="5"/>
    <n v="107.44"/>
    <x v="1"/>
    <x v="1"/>
    <d v="2025-06-09T00:00:00"/>
    <s v="No"/>
    <x v="1"/>
    <x v="1"/>
    <n v="2"/>
    <n v="9"/>
    <n v="82"/>
    <s v="No"/>
    <n v="0"/>
    <n v="10"/>
    <n v="1074.4000000000001"/>
    <x v="2"/>
  </r>
  <r>
    <x v="462"/>
    <x v="0"/>
    <x v="0"/>
    <s v="Education"/>
    <x v="2"/>
    <n v="5"/>
    <n v="126.4"/>
    <x v="5"/>
    <x v="0"/>
    <d v="2022-07-06T00:00:00"/>
    <s v="Yes"/>
    <x v="222"/>
    <x v="6"/>
    <n v="1"/>
    <n v="2"/>
    <n v="17"/>
    <s v="No"/>
    <n v="1"/>
    <n v="3"/>
    <n v="379.20000000000005"/>
    <x v="0"/>
  </r>
  <r>
    <x v="463"/>
    <x v="1"/>
    <x v="1"/>
    <s v="Real Estate"/>
    <x v="0"/>
    <n v="59"/>
    <n v="239.1"/>
    <x v="4"/>
    <x v="0"/>
    <d v="2025-10-18T00:00:00"/>
    <s v="No"/>
    <x v="1"/>
    <x v="1"/>
    <n v="12"/>
    <n v="9"/>
    <n v="72"/>
    <s v="No"/>
    <n v="0"/>
    <n v="6"/>
    <n v="1434.6"/>
    <x v="2"/>
  </r>
  <r>
    <x v="464"/>
    <x v="0"/>
    <x v="0"/>
    <s v="Education"/>
    <x v="3"/>
    <n v="1"/>
    <n v="79"/>
    <x v="1"/>
    <x v="1"/>
    <d v="2025-12-24T00:00:00"/>
    <s v="No"/>
    <x v="1"/>
    <x v="1"/>
    <n v="11"/>
    <n v="5"/>
    <n v="84"/>
    <s v="No"/>
    <n v="0"/>
    <n v="4"/>
    <n v="316"/>
    <x v="2"/>
  </r>
  <r>
    <x v="465"/>
    <x v="2"/>
    <x v="1"/>
    <s v="Finance"/>
    <x v="0"/>
    <n v="35"/>
    <n v="1031.82"/>
    <x v="4"/>
    <x v="1"/>
    <d v="2024-04-27T00:00:00"/>
    <s v="No"/>
    <x v="1"/>
    <x v="1"/>
    <n v="4"/>
    <n v="8"/>
    <n v="41"/>
    <s v="No"/>
    <n v="0"/>
    <n v="24"/>
    <n v="24763.68"/>
    <x v="1"/>
  </r>
  <r>
    <x v="466"/>
    <x v="1"/>
    <x v="1"/>
    <s v="Healthcare"/>
    <x v="4"/>
    <n v="112"/>
    <n v="435.07"/>
    <x v="3"/>
    <x v="3"/>
    <d v="2022-10-27T00:00:00"/>
    <s v="Yes"/>
    <x v="198"/>
    <x v="3"/>
    <n v="12"/>
    <n v="1"/>
    <n v="34"/>
    <s v="No"/>
    <n v="1"/>
    <n v="7"/>
    <n v="3045.49"/>
    <x v="1"/>
  </r>
  <r>
    <x v="467"/>
    <x v="3"/>
    <x v="1"/>
    <s v="Technology"/>
    <x v="2"/>
    <n v="10"/>
    <n v="996.75"/>
    <x v="3"/>
    <x v="0"/>
    <d v="2024-05-12T00:00:00"/>
    <s v="No"/>
    <x v="1"/>
    <x v="1"/>
    <n v="3"/>
    <n v="1"/>
    <n v="64"/>
    <s v="No"/>
    <n v="0"/>
    <n v="23"/>
    <n v="22925.25"/>
    <x v="2"/>
  </r>
  <r>
    <x v="468"/>
    <x v="2"/>
    <x v="1"/>
    <s v="Media"/>
    <x v="3"/>
    <n v="3"/>
    <n v="219.9"/>
    <x v="4"/>
    <x v="1"/>
    <d v="2025-12-19T00:00:00"/>
    <s v="No"/>
    <x v="1"/>
    <x v="1"/>
    <n v="8"/>
    <n v="2"/>
    <n v="45"/>
    <s v="No"/>
    <n v="0"/>
    <n v="4"/>
    <n v="879.6"/>
    <x v="1"/>
  </r>
  <r>
    <x v="469"/>
    <x v="0"/>
    <x v="0"/>
    <s v="Real Estate"/>
    <x v="3"/>
    <n v="5"/>
    <n v="126.4"/>
    <x v="1"/>
    <x v="0"/>
    <d v="2024-10-12T00:00:00"/>
    <s v="Yes"/>
    <x v="223"/>
    <x v="4"/>
    <n v="4"/>
    <n v="1"/>
    <n v="21"/>
    <s v="No"/>
    <n v="1"/>
    <n v="5"/>
    <n v="632"/>
    <x v="0"/>
  </r>
  <r>
    <x v="470"/>
    <x v="2"/>
    <x v="1"/>
    <s v="Real Estate"/>
    <x v="0"/>
    <n v="62"/>
    <n v="1716.87"/>
    <x v="4"/>
    <x v="0"/>
    <d v="2023-09-22T00:00:00"/>
    <s v="Yes"/>
    <x v="224"/>
    <x v="6"/>
    <n v="10"/>
    <n v="4"/>
    <n v="28"/>
    <s v="No"/>
    <n v="1"/>
    <n v="20"/>
    <n v="34337.399999999994"/>
    <x v="0"/>
  </r>
  <r>
    <x v="471"/>
    <x v="1"/>
    <x v="1"/>
    <s v="Real Estate"/>
    <x v="2"/>
    <n v="5"/>
    <n v="39.44"/>
    <x v="2"/>
    <x v="2"/>
    <d v="2022-08-31T00:00:00"/>
    <s v="Yes"/>
    <x v="225"/>
    <x v="2"/>
    <n v="12"/>
    <n v="1"/>
    <n v="44"/>
    <s v="No"/>
    <n v="1"/>
    <n v="3"/>
    <n v="118.32"/>
    <x v="1"/>
  </r>
  <r>
    <x v="472"/>
    <x v="1"/>
    <x v="0"/>
    <s v="Finance"/>
    <x v="0"/>
    <n v="48"/>
    <n v="233.45"/>
    <x v="1"/>
    <x v="0"/>
    <d v="2025-07-04T00:00:00"/>
    <s v="No"/>
    <x v="1"/>
    <x v="1"/>
    <n v="0"/>
    <n v="7"/>
    <n v="40"/>
    <s v="No"/>
    <n v="0"/>
    <n v="9"/>
    <n v="2101.0499999999997"/>
    <x v="1"/>
  </r>
  <r>
    <x v="473"/>
    <x v="0"/>
    <x v="1"/>
    <s v="Real Estate"/>
    <x v="2"/>
    <n v="7"/>
    <n v="127.59"/>
    <x v="3"/>
    <x v="1"/>
    <d v="2022-11-15T00:00:00"/>
    <s v="Yes"/>
    <x v="226"/>
    <x v="7"/>
    <n v="1"/>
    <n v="5"/>
    <n v="45"/>
    <s v="No"/>
    <n v="1"/>
    <n v="2"/>
    <n v="255.18"/>
    <x v="1"/>
  </r>
  <r>
    <x v="474"/>
    <x v="0"/>
    <x v="1"/>
    <s v="Real Estate"/>
    <x v="3"/>
    <n v="1"/>
    <n v="67.150000000000006"/>
    <x v="4"/>
    <x v="0"/>
    <d v="2025-12-28T00:00:00"/>
    <s v="No"/>
    <x v="1"/>
    <x v="1"/>
    <n v="11"/>
    <n v="6"/>
    <n v="30"/>
    <s v="No"/>
    <n v="0"/>
    <n v="4"/>
    <n v="268.60000000000002"/>
    <x v="1"/>
  </r>
  <r>
    <x v="475"/>
    <x v="0"/>
    <x v="1"/>
    <s v="Real Estate"/>
    <x v="3"/>
    <n v="2"/>
    <n v="77.22"/>
    <x v="0"/>
    <x v="3"/>
    <d v="2025-06-14T00:00:00"/>
    <s v="No"/>
    <x v="1"/>
    <x v="1"/>
    <n v="1"/>
    <n v="3"/>
    <n v="15"/>
    <s v="No"/>
    <n v="0"/>
    <n v="10"/>
    <n v="772.2"/>
    <x v="0"/>
  </r>
  <r>
    <x v="476"/>
    <x v="0"/>
    <x v="0"/>
    <s v="Technology"/>
    <x v="0"/>
    <n v="67"/>
    <n v="861.1"/>
    <x v="1"/>
    <x v="2"/>
    <d v="2025-06-14T00:00:00"/>
    <s v="No"/>
    <x v="1"/>
    <x v="1"/>
    <n v="11"/>
    <n v="8"/>
    <n v="76"/>
    <s v="No"/>
    <n v="0"/>
    <n v="10"/>
    <n v="8611"/>
    <x v="2"/>
  </r>
  <r>
    <x v="477"/>
    <x v="2"/>
    <x v="0"/>
    <s v="Retail"/>
    <x v="3"/>
    <n v="3"/>
    <n v="258.7"/>
    <x v="4"/>
    <x v="1"/>
    <d v="2022-02-17T00:00:00"/>
    <s v="Yes"/>
    <x v="227"/>
    <x v="2"/>
    <n v="1"/>
    <n v="1"/>
    <n v="11"/>
    <s v="No"/>
    <n v="1"/>
    <n v="28"/>
    <n v="7243.5999999999995"/>
    <x v="0"/>
  </r>
  <r>
    <x v="478"/>
    <x v="1"/>
    <x v="0"/>
    <s v="Healthcare"/>
    <x v="2"/>
    <n v="10"/>
    <n v="68.150000000000006"/>
    <x v="4"/>
    <x v="0"/>
    <d v="2023-11-06T00:00:00"/>
    <s v="Yes"/>
    <x v="228"/>
    <x v="7"/>
    <n v="2"/>
    <n v="1"/>
    <n v="21"/>
    <s v="No"/>
    <n v="1"/>
    <n v="16"/>
    <n v="1090.4000000000001"/>
    <x v="0"/>
  </r>
  <r>
    <x v="479"/>
    <x v="2"/>
    <x v="0"/>
    <s v="Manufacturing"/>
    <x v="2"/>
    <n v="5"/>
    <n v="318.39999999999998"/>
    <x v="0"/>
    <x v="1"/>
    <d v="2023-02-08T00:00:00"/>
    <s v="Yes"/>
    <x v="229"/>
    <x v="5"/>
    <n v="8"/>
    <n v="6"/>
    <n v="34"/>
    <s v="No"/>
    <n v="1"/>
    <n v="0"/>
    <n v="0"/>
    <x v="1"/>
  </r>
  <r>
    <x v="480"/>
    <x v="3"/>
    <x v="0"/>
    <s v="Legal"/>
    <x v="4"/>
    <n v="112"/>
    <n v="8807.35"/>
    <x v="0"/>
    <x v="1"/>
    <d v="2024-06-21T00:00:00"/>
    <s v="No"/>
    <x v="1"/>
    <x v="1"/>
    <n v="2"/>
    <n v="2"/>
    <n v="61"/>
    <s v="No"/>
    <n v="0"/>
    <n v="22"/>
    <n v="193761.7"/>
    <x v="2"/>
  </r>
  <r>
    <x v="481"/>
    <x v="0"/>
    <x v="1"/>
    <s v="Education"/>
    <x v="2"/>
    <n v="27"/>
    <n v="329.03"/>
    <x v="4"/>
    <x v="0"/>
    <d v="2024-10-02T00:00:00"/>
    <s v="No"/>
    <x v="1"/>
    <x v="1"/>
    <n v="8"/>
    <n v="6"/>
    <n v="80"/>
    <s v="No"/>
    <n v="0"/>
    <n v="18"/>
    <n v="5922.5399999999991"/>
    <x v="2"/>
  </r>
  <r>
    <x v="482"/>
    <x v="1"/>
    <x v="1"/>
    <s v="Education"/>
    <x v="2"/>
    <n v="6"/>
    <n v="43.14"/>
    <x v="4"/>
    <x v="0"/>
    <d v="2022-02-22T00:00:00"/>
    <s v="Yes"/>
    <x v="22"/>
    <x v="5"/>
    <n v="6"/>
    <n v="1"/>
    <n v="21"/>
    <s v="No"/>
    <n v="1"/>
    <n v="5"/>
    <n v="215.7"/>
    <x v="0"/>
  </r>
  <r>
    <x v="483"/>
    <x v="2"/>
    <x v="0"/>
    <s v="Legal"/>
    <x v="2"/>
    <n v="29"/>
    <n v="1034.8"/>
    <x v="0"/>
    <x v="1"/>
    <d v="2023-05-26T00:00:00"/>
    <s v="Yes"/>
    <x v="230"/>
    <x v="2"/>
    <n v="7"/>
    <n v="3"/>
    <n v="32"/>
    <s v="No"/>
    <n v="1"/>
    <n v="0"/>
    <n v="0"/>
    <x v="1"/>
  </r>
  <r>
    <x v="484"/>
    <x v="0"/>
    <x v="1"/>
    <s v="Finance"/>
    <x v="3"/>
    <n v="2"/>
    <n v="77.22"/>
    <x v="0"/>
    <x v="1"/>
    <d v="2023-09-13T00:00:00"/>
    <s v="Yes"/>
    <x v="231"/>
    <x v="4"/>
    <n v="7"/>
    <n v="1"/>
    <n v="30"/>
    <s v="No"/>
    <n v="1"/>
    <n v="18"/>
    <n v="1389.96"/>
    <x v="1"/>
  </r>
  <r>
    <x v="485"/>
    <x v="1"/>
    <x v="0"/>
    <s v="Healthcare"/>
    <x v="0"/>
    <n v="25"/>
    <n v="133.4"/>
    <x v="2"/>
    <x v="2"/>
    <d v="2024-11-29T00:00:00"/>
    <s v="Yes"/>
    <x v="57"/>
    <x v="4"/>
    <n v="10"/>
    <n v="4"/>
    <n v="29"/>
    <s v="No"/>
    <n v="1"/>
    <n v="1"/>
    <n v="133.4"/>
    <x v="0"/>
  </r>
  <r>
    <x v="486"/>
    <x v="1"/>
    <x v="0"/>
    <s v="Real Estate"/>
    <x v="3"/>
    <n v="7"/>
    <n v="55.1"/>
    <x v="5"/>
    <x v="1"/>
    <d v="2024-07-12T00:00:00"/>
    <s v="Yes"/>
    <x v="232"/>
    <x v="7"/>
    <n v="8"/>
    <n v="3"/>
    <n v="50"/>
    <s v="No"/>
    <n v="1"/>
    <n v="14"/>
    <n v="771.4"/>
    <x v="1"/>
  </r>
  <r>
    <x v="487"/>
    <x v="2"/>
    <x v="1"/>
    <s v="Education"/>
    <x v="3"/>
    <n v="7"/>
    <n v="321.38"/>
    <x v="2"/>
    <x v="0"/>
    <d v="2022-09-21T00:00:00"/>
    <s v="No"/>
    <x v="1"/>
    <x v="1"/>
    <n v="2"/>
    <n v="6"/>
    <n v="84"/>
    <s v="No"/>
    <n v="0"/>
    <n v="43"/>
    <n v="13819.34"/>
    <x v="2"/>
  </r>
  <r>
    <x v="488"/>
    <x v="0"/>
    <x v="0"/>
    <s v="Consulting"/>
    <x v="2"/>
    <n v="24"/>
    <n v="351.55"/>
    <x v="3"/>
    <x v="2"/>
    <d v="2023-07-30T00:00:00"/>
    <s v="Yes"/>
    <x v="233"/>
    <x v="6"/>
    <n v="15"/>
    <n v="5"/>
    <n v="26"/>
    <s v="No"/>
    <n v="1"/>
    <n v="21"/>
    <n v="7382.55"/>
    <x v="0"/>
  </r>
  <r>
    <x v="489"/>
    <x v="3"/>
    <x v="0"/>
    <s v="Media"/>
    <x v="3"/>
    <n v="6"/>
    <n v="873.25"/>
    <x v="3"/>
    <x v="0"/>
    <d v="2022-03-27T00:00:00"/>
    <s v="Yes"/>
    <x v="52"/>
    <x v="5"/>
    <n v="11"/>
    <n v="3"/>
    <n v="19"/>
    <s v="No"/>
    <n v="1"/>
    <n v="34"/>
    <n v="29690.5"/>
    <x v="0"/>
  </r>
  <r>
    <x v="490"/>
    <x v="1"/>
    <x v="0"/>
    <s v="Manufacturing"/>
    <x v="4"/>
    <n v="121"/>
    <n v="551"/>
    <x v="5"/>
    <x v="1"/>
    <d v="2024-06-01T00:00:00"/>
    <s v="Yes"/>
    <x v="46"/>
    <x v="0"/>
    <n v="2"/>
    <n v="6"/>
    <n v="23"/>
    <s v="No"/>
    <n v="1"/>
    <n v="10"/>
    <n v="5510"/>
    <x v="0"/>
  </r>
  <r>
    <x v="491"/>
    <x v="0"/>
    <x v="0"/>
    <s v="Finance"/>
    <x v="3"/>
    <n v="4"/>
    <n v="114.55"/>
    <x v="3"/>
    <x v="1"/>
    <d v="2022-12-04T00:00:00"/>
    <s v="Yes"/>
    <x v="234"/>
    <x v="5"/>
    <n v="15"/>
    <n v="1"/>
    <n v="27"/>
    <s v="No"/>
    <n v="1"/>
    <n v="27"/>
    <n v="3092.85"/>
    <x v="0"/>
  </r>
  <r>
    <x v="492"/>
    <x v="1"/>
    <x v="1"/>
    <s v="Finance"/>
    <x v="0"/>
    <n v="73"/>
    <n v="290.87"/>
    <x v="0"/>
    <x v="0"/>
    <d v="2025-10-06T00:00:00"/>
    <s v="No"/>
    <x v="1"/>
    <x v="1"/>
    <n v="3"/>
    <n v="7"/>
    <n v="57"/>
    <s v="No"/>
    <n v="0"/>
    <n v="6"/>
    <n v="1745.22"/>
    <x v="1"/>
  </r>
  <r>
    <x v="493"/>
    <x v="2"/>
    <x v="0"/>
    <s v="Retail"/>
    <x v="1"/>
    <n v="199"/>
    <n v="6109.3"/>
    <x v="2"/>
    <x v="0"/>
    <d v="2022-05-30T00:00:00"/>
    <s v="Yes"/>
    <x v="235"/>
    <x v="7"/>
    <n v="13"/>
    <n v="4"/>
    <n v="26"/>
    <s v="No"/>
    <n v="1"/>
    <n v="39"/>
    <n v="238262.7"/>
    <x v="0"/>
  </r>
  <r>
    <x v="494"/>
    <x v="2"/>
    <x v="0"/>
    <s v="Healthcare"/>
    <x v="2"/>
    <n v="21"/>
    <n v="796"/>
    <x v="4"/>
    <x v="2"/>
    <d v="2022-08-10T00:00:00"/>
    <s v="Yes"/>
    <x v="183"/>
    <x v="6"/>
    <n v="4"/>
    <n v="1"/>
    <n v="13"/>
    <s v="No"/>
    <n v="1"/>
    <n v="15"/>
    <n v="11940"/>
    <x v="0"/>
  </r>
  <r>
    <x v="495"/>
    <x v="1"/>
    <x v="1"/>
    <s v="Finance"/>
    <x v="3"/>
    <n v="4"/>
    <n v="35.74"/>
    <x v="3"/>
    <x v="1"/>
    <d v="2023-06-27T00:00:00"/>
    <s v="Yes"/>
    <x v="90"/>
    <x v="0"/>
    <n v="1"/>
    <n v="1"/>
    <n v="39"/>
    <s v="No"/>
    <n v="1"/>
    <n v="2"/>
    <n v="71.48"/>
    <x v="1"/>
  </r>
  <r>
    <x v="496"/>
    <x v="3"/>
    <x v="0"/>
    <s v="Legal"/>
    <x v="3"/>
    <n v="4"/>
    <n v="723.55"/>
    <x v="4"/>
    <x v="0"/>
    <d v="2024-02-03T00:00:00"/>
    <s v="No"/>
    <x v="1"/>
    <x v="1"/>
    <n v="0"/>
    <n v="6"/>
    <n v="47"/>
    <s v="No"/>
    <n v="0"/>
    <n v="26"/>
    <n v="18812.3"/>
    <x v="1"/>
  </r>
  <r>
    <x v="497"/>
    <x v="2"/>
    <x v="1"/>
    <s v="Education"/>
    <x v="2"/>
    <n v="5"/>
    <n v="270.64"/>
    <x v="5"/>
    <x v="1"/>
    <d v="2025-12-24T00:00:00"/>
    <s v="No"/>
    <x v="1"/>
    <x v="1"/>
    <n v="3"/>
    <n v="5"/>
    <n v="48"/>
    <s v="No"/>
    <n v="0"/>
    <n v="4"/>
    <n v="1082.56"/>
    <x v="1"/>
  </r>
  <r>
    <x v="498"/>
    <x v="2"/>
    <x v="0"/>
    <s v="Education"/>
    <x v="2"/>
    <n v="15"/>
    <n v="616.9"/>
    <x v="3"/>
    <x v="0"/>
    <d v="2025-03-06T00:00:00"/>
    <s v="No"/>
    <x v="1"/>
    <x v="1"/>
    <n v="11"/>
    <n v="10"/>
    <n v="37"/>
    <s v="No"/>
    <n v="0"/>
    <n v="13"/>
    <n v="8019.7"/>
    <x v="1"/>
  </r>
  <r>
    <x v="499"/>
    <x v="0"/>
    <x v="0"/>
    <s v="Media"/>
    <x v="0"/>
    <n v="71"/>
    <n v="908.5"/>
    <x v="3"/>
    <x v="0"/>
    <d v="2025-11-28T00:00:00"/>
    <s v="No"/>
    <x v="1"/>
    <x v="1"/>
    <n v="4"/>
    <n v="5"/>
    <n v="70"/>
    <s v="No"/>
    <n v="0"/>
    <n v="5"/>
    <n v="4542.5"/>
    <x v="2"/>
  </r>
  <r>
    <x v="500"/>
    <x v="1"/>
    <x v="1"/>
    <s v="Education"/>
    <x v="1"/>
    <n v="144"/>
    <n v="553.39"/>
    <x v="2"/>
    <x v="0"/>
    <d v="2023-07-30T00:00:00"/>
    <s v="Yes"/>
    <x v="236"/>
    <x v="5"/>
    <n v="6"/>
    <n v="3"/>
    <n v="45"/>
    <s v="No"/>
    <n v="1"/>
    <n v="5"/>
    <n v="2766.95"/>
    <x v="1"/>
  </r>
  <r>
    <x v="501"/>
    <x v="0"/>
    <x v="1"/>
    <s v="Retail"/>
    <x v="2"/>
    <n v="32"/>
    <n v="379.4"/>
    <x v="3"/>
    <x v="1"/>
    <d v="2024-10-28T00:00:00"/>
    <s v="No"/>
    <x v="1"/>
    <x v="1"/>
    <n v="5"/>
    <n v="9"/>
    <n v="36"/>
    <s v="No"/>
    <n v="0"/>
    <n v="18"/>
    <n v="6829.2"/>
    <x v="1"/>
  </r>
  <r>
    <x v="502"/>
    <x v="3"/>
    <x v="1"/>
    <s v="Real Estate"/>
    <x v="2"/>
    <n v="23"/>
    <n v="1823.84"/>
    <x v="0"/>
    <x v="3"/>
    <d v="2025-01-20T00:00:00"/>
    <s v="No"/>
    <x v="1"/>
    <x v="1"/>
    <n v="10"/>
    <n v="7"/>
    <n v="16"/>
    <s v="No"/>
    <n v="0"/>
    <n v="15"/>
    <n v="27357.599999999999"/>
    <x v="0"/>
  </r>
  <r>
    <x v="503"/>
    <x v="1"/>
    <x v="0"/>
    <s v="Retail"/>
    <x v="2"/>
    <n v="15"/>
    <n v="89.9"/>
    <x v="0"/>
    <x v="1"/>
    <d v="2025-04-12T00:00:00"/>
    <s v="Yes"/>
    <x v="237"/>
    <x v="4"/>
    <n v="14"/>
    <n v="3"/>
    <n v="26"/>
    <s v="No"/>
    <n v="1"/>
    <n v="0"/>
    <n v="0"/>
    <x v="0"/>
  </r>
  <r>
    <x v="504"/>
    <x v="2"/>
    <x v="0"/>
    <s v="Technology"/>
    <x v="0"/>
    <n v="49"/>
    <n v="1631.8"/>
    <x v="3"/>
    <x v="0"/>
    <d v="2022-05-12T00:00:00"/>
    <s v="Yes"/>
    <x v="238"/>
    <x v="4"/>
    <n v="10"/>
    <n v="6"/>
    <n v="16"/>
    <s v="No"/>
    <n v="1"/>
    <n v="14"/>
    <n v="22845.200000000001"/>
    <x v="0"/>
  </r>
  <r>
    <x v="505"/>
    <x v="1"/>
    <x v="0"/>
    <s v="Technology"/>
    <x v="2"/>
    <n v="26"/>
    <n v="137.75"/>
    <x v="0"/>
    <x v="3"/>
    <d v="2024-11-08T00:00:00"/>
    <s v="Yes"/>
    <x v="239"/>
    <x v="6"/>
    <n v="12"/>
    <n v="2"/>
    <n v="26"/>
    <s v="No"/>
    <n v="1"/>
    <n v="9"/>
    <n v="1239.75"/>
    <x v="0"/>
  </r>
  <r>
    <x v="506"/>
    <x v="2"/>
    <x v="1"/>
    <s v="Manufacturing"/>
    <x v="2"/>
    <n v="35"/>
    <n v="1031.82"/>
    <x v="2"/>
    <x v="0"/>
    <d v="2025-04-21T00:00:00"/>
    <s v="No"/>
    <x v="1"/>
    <x v="1"/>
    <n v="2"/>
    <n v="6"/>
    <n v="70"/>
    <s v="Yes"/>
    <n v="0"/>
    <n v="12"/>
    <n v="12381.84"/>
    <x v="2"/>
  </r>
  <r>
    <x v="507"/>
    <x v="1"/>
    <x v="1"/>
    <s v="Finance"/>
    <x v="0"/>
    <n v="54"/>
    <n v="220.62"/>
    <x v="3"/>
    <x v="2"/>
    <d v="2022-03-10T00:00:00"/>
    <s v="Yes"/>
    <x v="240"/>
    <x v="5"/>
    <n v="3"/>
    <n v="2"/>
    <n v="33"/>
    <s v="No"/>
    <n v="1"/>
    <n v="7"/>
    <n v="1544.3400000000001"/>
    <x v="1"/>
  </r>
  <r>
    <x v="508"/>
    <x v="1"/>
    <x v="0"/>
    <s v="Education"/>
    <x v="1"/>
    <n v="56"/>
    <n v="268.25"/>
    <x v="3"/>
    <x v="3"/>
    <d v="2023-05-12T00:00:00"/>
    <s v="Yes"/>
    <x v="241"/>
    <x v="3"/>
    <n v="12"/>
    <n v="2"/>
    <n v="17"/>
    <s v="No"/>
    <n v="1"/>
    <n v="1"/>
    <n v="268.25"/>
    <x v="0"/>
  </r>
  <r>
    <x v="509"/>
    <x v="2"/>
    <x v="0"/>
    <s v="Education"/>
    <x v="2"/>
    <n v="27"/>
    <n v="975.1"/>
    <x v="3"/>
    <x v="2"/>
    <d v="2024-08-26T00:00:00"/>
    <s v="Yes"/>
    <x v="242"/>
    <x v="3"/>
    <n v="9"/>
    <n v="2"/>
    <n v="24"/>
    <s v="No"/>
    <n v="1"/>
    <n v="7"/>
    <n v="6825.7"/>
    <x v="0"/>
  </r>
  <r>
    <x v="510"/>
    <x v="0"/>
    <x v="0"/>
    <s v="Education"/>
    <x v="2"/>
    <n v="25"/>
    <n v="363.4"/>
    <x v="4"/>
    <x v="0"/>
    <d v="2025-09-23T00:00:00"/>
    <s v="No"/>
    <x v="1"/>
    <x v="1"/>
    <n v="6"/>
    <n v="4"/>
    <n v="30"/>
    <s v="No"/>
    <n v="0"/>
    <n v="7"/>
    <n v="2543.7999999999997"/>
    <x v="1"/>
  </r>
  <r>
    <x v="511"/>
    <x v="1"/>
    <x v="1"/>
    <s v="Consulting"/>
    <x v="0"/>
    <n v="26"/>
    <n v="117.09"/>
    <x v="3"/>
    <x v="1"/>
    <d v="2023-01-17T00:00:00"/>
    <s v="Yes"/>
    <x v="243"/>
    <x v="4"/>
    <n v="15"/>
    <n v="2"/>
    <n v="36"/>
    <s v="No"/>
    <n v="1"/>
    <n v="4"/>
    <n v="468.36"/>
    <x v="1"/>
  </r>
  <r>
    <x v="512"/>
    <x v="0"/>
    <x v="1"/>
    <s v="Education"/>
    <x v="3"/>
    <n v="8"/>
    <n v="137.66"/>
    <x v="3"/>
    <x v="0"/>
    <d v="2024-01-20T00:00:00"/>
    <s v="Yes"/>
    <x v="244"/>
    <x v="5"/>
    <n v="6"/>
    <n v="5"/>
    <n v="13"/>
    <s v="No"/>
    <n v="1"/>
    <n v="0"/>
    <n v="0"/>
    <x v="0"/>
  </r>
  <r>
    <x v="513"/>
    <x v="2"/>
    <x v="0"/>
    <s v="Finance"/>
    <x v="4"/>
    <n v="68"/>
    <n v="2198.9499999999998"/>
    <x v="4"/>
    <x v="3"/>
    <d v="2024-01-27T00:00:00"/>
    <s v="Yes"/>
    <x v="245"/>
    <x v="4"/>
    <n v="15"/>
    <n v="1"/>
    <n v="19"/>
    <s v="No"/>
    <n v="1"/>
    <n v="4"/>
    <n v="8795.7999999999993"/>
    <x v="0"/>
  </r>
  <r>
    <x v="514"/>
    <x v="3"/>
    <x v="0"/>
    <s v="Finance"/>
    <x v="3"/>
    <n v="2"/>
    <n v="573.85"/>
    <x v="0"/>
    <x v="0"/>
    <d v="2022-04-01T00:00:00"/>
    <s v="No"/>
    <x v="1"/>
    <x v="1"/>
    <n v="7"/>
    <n v="8"/>
    <n v="28"/>
    <s v="No"/>
    <n v="0"/>
    <n v="49"/>
    <n v="28118.65"/>
    <x v="0"/>
  </r>
  <r>
    <x v="515"/>
    <x v="2"/>
    <x v="0"/>
    <s v="Education"/>
    <x v="0"/>
    <n v="42"/>
    <n v="1422.85"/>
    <x v="2"/>
    <x v="1"/>
    <d v="2024-11-16T00:00:00"/>
    <s v="No"/>
    <x v="1"/>
    <x v="1"/>
    <n v="10"/>
    <n v="2"/>
    <n v="17"/>
    <s v="No"/>
    <n v="0"/>
    <n v="17"/>
    <n v="24188.449999999997"/>
    <x v="0"/>
  </r>
  <r>
    <x v="516"/>
    <x v="0"/>
    <x v="0"/>
    <s v="Healthcare"/>
    <x v="0"/>
    <n v="59"/>
    <n v="766.3"/>
    <x v="5"/>
    <x v="1"/>
    <d v="2024-04-30T00:00:00"/>
    <s v="Yes"/>
    <x v="246"/>
    <x v="5"/>
    <n v="12"/>
    <n v="4"/>
    <n v="42"/>
    <s v="No"/>
    <n v="1"/>
    <n v="5"/>
    <n v="3831.5"/>
    <x v="1"/>
  </r>
  <r>
    <x v="517"/>
    <x v="1"/>
    <x v="1"/>
    <s v="Manufacturing"/>
    <x v="2"/>
    <n v="21"/>
    <n v="98.6"/>
    <x v="4"/>
    <x v="0"/>
    <d v="2025-05-20T00:00:00"/>
    <s v="No"/>
    <x v="1"/>
    <x v="1"/>
    <n v="4"/>
    <n v="7"/>
    <n v="71"/>
    <s v="No"/>
    <n v="0"/>
    <n v="11"/>
    <n v="1084.5999999999999"/>
    <x v="2"/>
  </r>
  <r>
    <x v="518"/>
    <x v="2"/>
    <x v="1"/>
    <s v="Media"/>
    <x v="2"/>
    <n v="34"/>
    <n v="1006.44"/>
    <x v="4"/>
    <x v="2"/>
    <d v="2022-08-18T00:00:00"/>
    <s v="No"/>
    <x v="1"/>
    <x v="1"/>
    <n v="10"/>
    <n v="4"/>
    <n v="84"/>
    <s v="No"/>
    <n v="0"/>
    <n v="44"/>
    <n v="44283.360000000001"/>
    <x v="2"/>
  </r>
  <r>
    <x v="519"/>
    <x v="0"/>
    <x v="0"/>
    <s v="Healthcare"/>
    <x v="2"/>
    <n v="31"/>
    <n v="434.5"/>
    <x v="4"/>
    <x v="1"/>
    <d v="2022-06-12T00:00:00"/>
    <s v="Yes"/>
    <x v="247"/>
    <x v="3"/>
    <n v="10"/>
    <n v="4"/>
    <n v="20"/>
    <s v="No"/>
    <n v="1"/>
    <n v="22"/>
    <n v="9559"/>
    <x v="0"/>
  </r>
  <r>
    <x v="520"/>
    <x v="3"/>
    <x v="0"/>
    <s v="Finance"/>
    <x v="3"/>
    <n v="4"/>
    <n v="723.55"/>
    <x v="0"/>
    <x v="2"/>
    <d v="2024-08-01T00:00:00"/>
    <s v="Yes"/>
    <x v="248"/>
    <x v="5"/>
    <n v="5"/>
    <n v="6"/>
    <n v="31"/>
    <s v="No"/>
    <n v="1"/>
    <n v="9"/>
    <n v="6511.95"/>
    <x v="1"/>
  </r>
  <r>
    <x v="521"/>
    <x v="3"/>
    <x v="0"/>
    <s v="Technology"/>
    <x v="3"/>
    <n v="7"/>
    <n v="948.1"/>
    <x v="1"/>
    <x v="2"/>
    <d v="2023-06-26T00:00:00"/>
    <s v="No"/>
    <x v="1"/>
    <x v="1"/>
    <n v="0"/>
    <n v="5"/>
    <n v="83"/>
    <s v="No"/>
    <n v="0"/>
    <n v="34"/>
    <n v="32235.4"/>
    <x v="2"/>
  </r>
  <r>
    <x v="522"/>
    <x v="2"/>
    <x v="0"/>
    <s v="Healthcare"/>
    <x v="3"/>
    <n v="7"/>
    <n v="378.1"/>
    <x v="2"/>
    <x v="1"/>
    <d v="2024-01-07T00:00:00"/>
    <s v="Yes"/>
    <x v="249"/>
    <x v="7"/>
    <n v="0"/>
    <n v="1"/>
    <n v="36"/>
    <s v="No"/>
    <n v="1"/>
    <n v="15"/>
    <n v="5671.5"/>
    <x v="1"/>
  </r>
  <r>
    <x v="523"/>
    <x v="0"/>
    <x v="0"/>
    <s v="Media"/>
    <x v="0"/>
    <n v="59"/>
    <n v="766.3"/>
    <x v="2"/>
    <x v="0"/>
    <d v="2022-02-07T00:00:00"/>
    <s v="No"/>
    <x v="1"/>
    <x v="1"/>
    <n v="2"/>
    <n v="7"/>
    <n v="51"/>
    <s v="No"/>
    <n v="0"/>
    <n v="50"/>
    <n v="38315"/>
    <x v="1"/>
  </r>
  <r>
    <x v="524"/>
    <x v="3"/>
    <x v="1"/>
    <s v="Manufacturing"/>
    <x v="3"/>
    <n v="1"/>
    <n v="424.15"/>
    <x v="4"/>
    <x v="3"/>
    <d v="2022-08-01T00:00:00"/>
    <s v="No"/>
    <x v="1"/>
    <x v="1"/>
    <n v="2"/>
    <n v="1"/>
    <n v="65"/>
    <s v="No"/>
    <n v="0"/>
    <n v="45"/>
    <n v="19086.75"/>
    <x v="2"/>
  </r>
  <r>
    <x v="525"/>
    <x v="0"/>
    <x v="0"/>
    <s v="Real Estate"/>
    <x v="3"/>
    <n v="8"/>
    <n v="161.94999999999999"/>
    <x v="4"/>
    <x v="3"/>
    <d v="2023-05-01T00:00:00"/>
    <s v="Yes"/>
    <x v="250"/>
    <x v="4"/>
    <n v="3"/>
    <n v="1"/>
    <n v="27"/>
    <s v="No"/>
    <n v="1"/>
    <n v="1"/>
    <n v="161.94999999999999"/>
    <x v="0"/>
  </r>
  <r>
    <x v="526"/>
    <x v="2"/>
    <x v="1"/>
    <s v="Media"/>
    <x v="4"/>
    <n v="50"/>
    <n v="1412.4"/>
    <x v="4"/>
    <x v="1"/>
    <d v="2025-10-13T00:00:00"/>
    <s v="No"/>
    <x v="1"/>
    <x v="1"/>
    <n v="12"/>
    <n v="5"/>
    <n v="91"/>
    <s v="No"/>
    <n v="0"/>
    <n v="6"/>
    <n v="8474.4000000000015"/>
    <x v="2"/>
  </r>
  <r>
    <x v="527"/>
    <x v="1"/>
    <x v="0"/>
    <s v="Legal"/>
    <x v="3"/>
    <n v="7"/>
    <n v="55.1"/>
    <x v="3"/>
    <x v="2"/>
    <d v="2023-12-16T00:00:00"/>
    <s v="Yes"/>
    <x v="251"/>
    <x v="5"/>
    <n v="6"/>
    <n v="3"/>
    <n v="36"/>
    <s v="No"/>
    <n v="1"/>
    <n v="19"/>
    <n v="1046.9000000000001"/>
    <x v="1"/>
  </r>
  <r>
    <x v="528"/>
    <x v="2"/>
    <x v="1"/>
    <s v="Consulting"/>
    <x v="0"/>
    <n v="49"/>
    <n v="1387.03"/>
    <x v="3"/>
    <x v="3"/>
    <d v="2025-02-26T00:00:00"/>
    <s v="No"/>
    <x v="1"/>
    <x v="1"/>
    <n v="12"/>
    <n v="9"/>
    <n v="82"/>
    <s v="No"/>
    <n v="0"/>
    <n v="14"/>
    <n v="19418.419999999998"/>
    <x v="2"/>
  </r>
  <r>
    <x v="529"/>
    <x v="3"/>
    <x v="0"/>
    <s v="Legal"/>
    <x v="2"/>
    <n v="31"/>
    <n v="2744.5"/>
    <x v="2"/>
    <x v="1"/>
    <d v="2023-04-28T00:00:00"/>
    <s v="No"/>
    <x v="1"/>
    <x v="1"/>
    <n v="11"/>
    <n v="3"/>
    <n v="15"/>
    <s v="No"/>
    <n v="0"/>
    <n v="36"/>
    <n v="98802"/>
    <x v="0"/>
  </r>
  <r>
    <x v="530"/>
    <x v="0"/>
    <x v="0"/>
    <s v="Real Estate"/>
    <x v="2"/>
    <n v="20"/>
    <n v="304.14999999999998"/>
    <x v="0"/>
    <x v="0"/>
    <d v="2023-08-12T00:00:00"/>
    <s v="No"/>
    <x v="1"/>
    <x v="1"/>
    <n v="10"/>
    <n v="1"/>
    <n v="76"/>
    <s v="No"/>
    <n v="0"/>
    <n v="32"/>
    <n v="9732.7999999999993"/>
    <x v="2"/>
  </r>
  <r>
    <x v="531"/>
    <x v="1"/>
    <x v="1"/>
    <s v="Legal"/>
    <x v="0"/>
    <n v="67"/>
    <n v="268.69"/>
    <x v="2"/>
    <x v="2"/>
    <d v="2024-08-19T00:00:00"/>
    <s v="No"/>
    <x v="1"/>
    <x v="1"/>
    <n v="3"/>
    <n v="6"/>
    <n v="55"/>
    <s v="No"/>
    <n v="0"/>
    <n v="20"/>
    <n v="5373.8"/>
    <x v="1"/>
  </r>
  <r>
    <x v="532"/>
    <x v="3"/>
    <x v="0"/>
    <s v="Healthcare"/>
    <x v="4"/>
    <n v="85"/>
    <n v="6786.4"/>
    <x v="1"/>
    <x v="1"/>
    <d v="2024-07-17T00:00:00"/>
    <s v="No"/>
    <x v="1"/>
    <x v="1"/>
    <n v="4"/>
    <n v="7"/>
    <n v="54"/>
    <s v="Yes"/>
    <n v="0"/>
    <n v="21"/>
    <n v="142514.4"/>
    <x v="1"/>
  </r>
  <r>
    <x v="533"/>
    <x v="1"/>
    <x v="0"/>
    <s v="Real Estate"/>
    <x v="3"/>
    <n v="2"/>
    <n v="33.35"/>
    <x v="0"/>
    <x v="2"/>
    <d v="2023-06-17T00:00:00"/>
    <s v="Yes"/>
    <x v="252"/>
    <x v="5"/>
    <n v="13"/>
    <n v="2"/>
    <n v="17"/>
    <s v="No"/>
    <n v="1"/>
    <n v="1"/>
    <n v="33.35"/>
    <x v="0"/>
  </r>
  <r>
    <x v="534"/>
    <x v="3"/>
    <x v="1"/>
    <s v="Finance"/>
    <x v="4"/>
    <n v="52"/>
    <n v="3668.9"/>
    <x v="3"/>
    <x v="1"/>
    <d v="2024-07-25T00:00:00"/>
    <s v="No"/>
    <x v="1"/>
    <x v="1"/>
    <n v="9"/>
    <n v="7"/>
    <n v="93"/>
    <s v="No"/>
    <n v="0"/>
    <n v="21"/>
    <n v="77046.900000000009"/>
    <x v="2"/>
  </r>
  <r>
    <x v="535"/>
    <x v="1"/>
    <x v="1"/>
    <s v="Real Estate"/>
    <x v="0"/>
    <n v="58"/>
    <n v="235.41"/>
    <x v="5"/>
    <x v="2"/>
    <d v="2022-11-05T00:00:00"/>
    <s v="Yes"/>
    <x v="253"/>
    <x v="5"/>
    <n v="4"/>
    <n v="5"/>
    <n v="20"/>
    <s v="No"/>
    <n v="1"/>
    <n v="0"/>
    <n v="0"/>
    <x v="0"/>
  </r>
  <r>
    <x v="536"/>
    <x v="1"/>
    <x v="0"/>
    <s v="Legal"/>
    <x v="2"/>
    <n v="26"/>
    <n v="137.75"/>
    <x v="4"/>
    <x v="0"/>
    <d v="2023-06-14T00:00:00"/>
    <s v="Yes"/>
    <x v="7"/>
    <x v="0"/>
    <n v="0"/>
    <n v="3"/>
    <n v="23"/>
    <s v="No"/>
    <n v="1"/>
    <n v="0"/>
    <n v="0"/>
    <x v="0"/>
  </r>
  <r>
    <x v="537"/>
    <x v="0"/>
    <x v="0"/>
    <s v="Real Estate"/>
    <x v="3"/>
    <n v="8"/>
    <n v="161.94999999999999"/>
    <x v="4"/>
    <x v="1"/>
    <d v="2025-05-04T00:00:00"/>
    <s v="Yes"/>
    <x v="254"/>
    <x v="0"/>
    <n v="5"/>
    <n v="2"/>
    <n v="49"/>
    <s v="No"/>
    <n v="1"/>
    <n v="3"/>
    <n v="485.84999999999997"/>
    <x v="1"/>
  </r>
  <r>
    <x v="538"/>
    <x v="2"/>
    <x v="1"/>
    <s v="Healthcare"/>
    <x v="0"/>
    <n v="20"/>
    <n v="651.23"/>
    <x v="5"/>
    <x v="0"/>
    <d v="2024-05-25T00:00:00"/>
    <s v="No"/>
    <x v="1"/>
    <x v="1"/>
    <n v="8"/>
    <n v="9"/>
    <n v="90"/>
    <s v="No"/>
    <n v="0"/>
    <n v="23"/>
    <n v="14978.29"/>
    <x v="2"/>
  </r>
  <r>
    <x v="539"/>
    <x v="1"/>
    <x v="0"/>
    <s v="Consulting"/>
    <x v="0"/>
    <n v="68"/>
    <n v="320.45"/>
    <x v="4"/>
    <x v="0"/>
    <d v="2024-09-04T00:00:00"/>
    <s v="Yes"/>
    <x v="248"/>
    <x v="6"/>
    <n v="9"/>
    <n v="4"/>
    <n v="50"/>
    <s v="No"/>
    <n v="1"/>
    <n v="8"/>
    <n v="2563.6"/>
    <x v="1"/>
  </r>
  <r>
    <x v="540"/>
    <x v="0"/>
    <x v="0"/>
    <s v="Manufacturing"/>
    <x v="4"/>
    <n v="30"/>
    <n v="422.65"/>
    <x v="3"/>
    <x v="0"/>
    <d v="2023-08-28T00:00:00"/>
    <s v="Yes"/>
    <x v="255"/>
    <x v="4"/>
    <n v="8"/>
    <n v="1"/>
    <n v="50"/>
    <s v="No"/>
    <n v="1"/>
    <n v="14"/>
    <n v="5917.0999999999995"/>
    <x v="1"/>
  </r>
  <r>
    <x v="541"/>
    <x v="1"/>
    <x v="0"/>
    <s v="Education"/>
    <x v="2"/>
    <n v="28"/>
    <n v="146.44999999999999"/>
    <x v="1"/>
    <x v="0"/>
    <d v="2025-10-24T00:00:00"/>
    <s v="No"/>
    <x v="1"/>
    <x v="1"/>
    <n v="7"/>
    <n v="1"/>
    <n v="91"/>
    <s v="No"/>
    <n v="0"/>
    <n v="6"/>
    <n v="878.69999999999993"/>
    <x v="2"/>
  </r>
  <r>
    <x v="542"/>
    <x v="3"/>
    <x v="1"/>
    <s v="Real Estate"/>
    <x v="3"/>
    <n v="1"/>
    <n v="424.15"/>
    <x v="2"/>
    <x v="0"/>
    <d v="2022-11-05T00:00:00"/>
    <s v="Yes"/>
    <x v="248"/>
    <x v="6"/>
    <n v="9"/>
    <n v="3"/>
    <n v="24"/>
    <s v="No"/>
    <n v="1"/>
    <n v="30"/>
    <n v="12724.5"/>
    <x v="0"/>
  </r>
  <r>
    <x v="543"/>
    <x v="2"/>
    <x v="1"/>
    <s v="Real Estate"/>
    <x v="2"/>
    <n v="16"/>
    <n v="549.74"/>
    <x v="3"/>
    <x v="1"/>
    <d v="2023-12-30T00:00:00"/>
    <s v="No"/>
    <x v="1"/>
    <x v="1"/>
    <n v="4"/>
    <n v="3"/>
    <n v="25"/>
    <s v="No"/>
    <n v="0"/>
    <n v="28"/>
    <n v="15392.720000000001"/>
    <x v="0"/>
  </r>
  <r>
    <x v="544"/>
    <x v="1"/>
    <x v="0"/>
    <s v="Technology"/>
    <x v="3"/>
    <n v="1"/>
    <n v="29"/>
    <x v="3"/>
    <x v="1"/>
    <d v="2022-05-04T00:00:00"/>
    <s v="Yes"/>
    <x v="256"/>
    <x v="0"/>
    <n v="14"/>
    <n v="2"/>
    <n v="10"/>
    <s v="No"/>
    <n v="1"/>
    <n v="7"/>
    <n v="203"/>
    <x v="0"/>
  </r>
  <r>
    <x v="545"/>
    <x v="0"/>
    <x v="0"/>
    <s v="Technology"/>
    <x v="2"/>
    <n v="11"/>
    <n v="197.5"/>
    <x v="1"/>
    <x v="2"/>
    <d v="2023-09-12T00:00:00"/>
    <s v="Yes"/>
    <x v="257"/>
    <x v="5"/>
    <n v="12"/>
    <n v="2"/>
    <n v="10"/>
    <s v="No"/>
    <n v="1"/>
    <n v="7"/>
    <n v="1382.5"/>
    <x v="0"/>
  </r>
  <r>
    <x v="546"/>
    <x v="3"/>
    <x v="0"/>
    <s v="Retail"/>
    <x v="3"/>
    <n v="2"/>
    <n v="573.85"/>
    <x v="0"/>
    <x v="0"/>
    <d v="2023-01-10T00:00:00"/>
    <s v="Yes"/>
    <x v="258"/>
    <x v="2"/>
    <n v="10"/>
    <n v="3"/>
    <n v="22"/>
    <s v="No"/>
    <n v="1"/>
    <n v="25"/>
    <n v="14346.25"/>
    <x v="0"/>
  </r>
  <r>
    <x v="547"/>
    <x v="2"/>
    <x v="0"/>
    <s v="Media"/>
    <x v="2"/>
    <n v="31"/>
    <n v="1094.5"/>
    <x v="4"/>
    <x v="2"/>
    <d v="2022-11-24T00:00:00"/>
    <s v="No"/>
    <x v="1"/>
    <x v="1"/>
    <n v="1"/>
    <n v="6"/>
    <n v="49"/>
    <s v="No"/>
    <n v="0"/>
    <n v="41"/>
    <n v="44874.5"/>
    <x v="1"/>
  </r>
  <r>
    <x v="548"/>
    <x v="1"/>
    <x v="1"/>
    <s v="Legal"/>
    <x v="2"/>
    <n v="30"/>
    <n v="131.88"/>
    <x v="2"/>
    <x v="0"/>
    <d v="2022-03-20T00:00:00"/>
    <s v="Yes"/>
    <x v="259"/>
    <x v="5"/>
    <n v="7"/>
    <n v="1"/>
    <n v="28"/>
    <s v="No"/>
    <n v="1"/>
    <n v="0"/>
    <n v="0"/>
    <x v="0"/>
  </r>
  <r>
    <x v="549"/>
    <x v="1"/>
    <x v="0"/>
    <s v="Technology"/>
    <x v="2"/>
    <n v="31"/>
    <n v="159.5"/>
    <x v="0"/>
    <x v="2"/>
    <d v="2024-04-25T00:00:00"/>
    <s v="Yes"/>
    <x v="260"/>
    <x v="6"/>
    <n v="1"/>
    <n v="6"/>
    <n v="33"/>
    <s v="No"/>
    <n v="1"/>
    <n v="4"/>
    <n v="638"/>
    <x v="1"/>
  </r>
  <r>
    <x v="550"/>
    <x v="0"/>
    <x v="1"/>
    <s v="Consulting"/>
    <x v="1"/>
    <n v="187"/>
    <n v="1940.63"/>
    <x v="4"/>
    <x v="0"/>
    <d v="2025-10-08T00:00:00"/>
    <s v="No"/>
    <x v="1"/>
    <x v="1"/>
    <n v="1"/>
    <n v="3"/>
    <n v="53"/>
    <s v="No"/>
    <n v="0"/>
    <n v="6"/>
    <n v="11643.78"/>
    <x v="1"/>
  </r>
  <r>
    <x v="551"/>
    <x v="1"/>
    <x v="0"/>
    <s v="Education"/>
    <x v="2"/>
    <n v="9"/>
    <n v="63.8"/>
    <x v="1"/>
    <x v="0"/>
    <d v="2025-03-10T00:00:00"/>
    <s v="No"/>
    <x v="1"/>
    <x v="1"/>
    <n v="9"/>
    <n v="3"/>
    <n v="22"/>
    <s v="No"/>
    <n v="0"/>
    <n v="13"/>
    <n v="829.4"/>
    <x v="0"/>
  </r>
  <r>
    <x v="552"/>
    <x v="1"/>
    <x v="1"/>
    <s v="Technology"/>
    <x v="4"/>
    <n v="135"/>
    <n v="520.12"/>
    <x v="5"/>
    <x v="2"/>
    <d v="2024-10-01T00:00:00"/>
    <s v="No"/>
    <x v="1"/>
    <x v="1"/>
    <n v="10"/>
    <n v="4"/>
    <n v="86"/>
    <s v="No"/>
    <n v="0"/>
    <n v="19"/>
    <n v="9882.2800000000007"/>
    <x v="2"/>
  </r>
  <r>
    <x v="553"/>
    <x v="1"/>
    <x v="1"/>
    <s v="Manufacturing"/>
    <x v="0"/>
    <n v="39"/>
    <n v="165.16"/>
    <x v="4"/>
    <x v="0"/>
    <d v="2022-02-17T00:00:00"/>
    <s v="Yes"/>
    <x v="261"/>
    <x v="5"/>
    <n v="8"/>
    <n v="6"/>
    <n v="18"/>
    <s v="No"/>
    <n v="1"/>
    <n v="6"/>
    <n v="990.96"/>
    <x v="0"/>
  </r>
  <r>
    <x v="554"/>
    <x v="2"/>
    <x v="1"/>
    <s v="Retail"/>
    <x v="2"/>
    <n v="29"/>
    <n v="879.58"/>
    <x v="3"/>
    <x v="0"/>
    <d v="2022-07-28T00:00:00"/>
    <s v="No"/>
    <x v="1"/>
    <x v="1"/>
    <n v="2"/>
    <n v="5"/>
    <n v="71"/>
    <s v="No"/>
    <n v="0"/>
    <n v="45"/>
    <n v="39581.1"/>
    <x v="2"/>
  </r>
  <r>
    <x v="555"/>
    <x v="2"/>
    <x v="0"/>
    <s v="Consulting"/>
    <x v="1"/>
    <n v="182"/>
    <n v="5601.85"/>
    <x v="4"/>
    <x v="3"/>
    <d v="2025-07-25T00:00:00"/>
    <s v="Yes"/>
    <x v="262"/>
    <x v="5"/>
    <n v="4"/>
    <n v="1"/>
    <n v="21"/>
    <s v="No"/>
    <n v="1"/>
    <n v="0"/>
    <n v="0"/>
    <x v="0"/>
  </r>
  <r>
    <x v="556"/>
    <x v="1"/>
    <x v="0"/>
    <s v="Finance"/>
    <x v="4"/>
    <n v="82"/>
    <n v="381.35"/>
    <x v="3"/>
    <x v="0"/>
    <d v="2025-10-11T00:00:00"/>
    <s v="No"/>
    <x v="1"/>
    <x v="1"/>
    <n v="1"/>
    <n v="6"/>
    <n v="33"/>
    <s v="No"/>
    <n v="0"/>
    <n v="6"/>
    <n v="2288.1000000000004"/>
    <x v="1"/>
  </r>
  <r>
    <x v="557"/>
    <x v="2"/>
    <x v="0"/>
    <s v="Education"/>
    <x v="4"/>
    <n v="74"/>
    <n v="2378.0500000000002"/>
    <x v="0"/>
    <x v="1"/>
    <d v="2025-04-25T00:00:00"/>
    <s v="No"/>
    <x v="1"/>
    <x v="1"/>
    <n v="0"/>
    <n v="9"/>
    <n v="71"/>
    <s v="Yes"/>
    <n v="0"/>
    <n v="12"/>
    <n v="28536.600000000002"/>
    <x v="2"/>
  </r>
  <r>
    <x v="558"/>
    <x v="0"/>
    <x v="1"/>
    <s v="Healthcare"/>
    <x v="2"/>
    <n v="30"/>
    <n v="359.25"/>
    <x v="2"/>
    <x v="0"/>
    <d v="2022-11-27T00:00:00"/>
    <s v="Yes"/>
    <x v="90"/>
    <x v="4"/>
    <n v="11"/>
    <n v="1"/>
    <n v="26"/>
    <s v="No"/>
    <n v="1"/>
    <n v="9"/>
    <n v="3233.25"/>
    <x v="0"/>
  </r>
  <r>
    <x v="559"/>
    <x v="1"/>
    <x v="0"/>
    <s v="Legal"/>
    <x v="2"/>
    <n v="6"/>
    <n v="50.75"/>
    <x v="0"/>
    <x v="2"/>
    <d v="2024-08-12T00:00:00"/>
    <s v="Yes"/>
    <x v="166"/>
    <x v="0"/>
    <n v="9"/>
    <n v="1"/>
    <n v="45"/>
    <s v="No"/>
    <n v="1"/>
    <n v="10"/>
    <n v="507.5"/>
    <x v="1"/>
  </r>
  <r>
    <x v="560"/>
    <x v="3"/>
    <x v="0"/>
    <s v="Legal"/>
    <x v="2"/>
    <n v="17"/>
    <n v="1696.6"/>
    <x v="0"/>
    <x v="2"/>
    <d v="2023-07-21T00:00:00"/>
    <s v="No"/>
    <x v="1"/>
    <x v="1"/>
    <n v="9"/>
    <n v="3"/>
    <n v="41"/>
    <s v="No"/>
    <n v="0"/>
    <n v="33"/>
    <n v="55987.799999999996"/>
    <x v="1"/>
  </r>
  <r>
    <x v="561"/>
    <x v="2"/>
    <x v="0"/>
    <s v="Healthcare"/>
    <x v="0"/>
    <n v="30"/>
    <n v="1064.6500000000001"/>
    <x v="3"/>
    <x v="0"/>
    <d v="2025-10-12T00:00:00"/>
    <s v="No"/>
    <x v="1"/>
    <x v="1"/>
    <n v="6"/>
    <n v="10"/>
    <n v="17"/>
    <s v="No"/>
    <n v="0"/>
    <n v="6"/>
    <n v="6387.9000000000005"/>
    <x v="0"/>
  </r>
  <r>
    <x v="562"/>
    <x v="1"/>
    <x v="0"/>
    <s v="Technology"/>
    <x v="3"/>
    <n v="8"/>
    <n v="59.45"/>
    <x v="0"/>
    <x v="2"/>
    <d v="2024-11-09T00:00:00"/>
    <s v="Yes"/>
    <x v="129"/>
    <x v="3"/>
    <n v="3"/>
    <n v="5"/>
    <n v="27"/>
    <s v="No"/>
    <n v="1"/>
    <n v="6"/>
    <n v="356.70000000000005"/>
    <x v="0"/>
  </r>
  <r>
    <x v="563"/>
    <x v="0"/>
    <x v="0"/>
    <s v="Technology"/>
    <x v="3"/>
    <n v="8"/>
    <n v="161.94999999999999"/>
    <x v="4"/>
    <x v="1"/>
    <d v="2025-03-17T00:00:00"/>
    <s v="No"/>
    <x v="1"/>
    <x v="1"/>
    <n v="10"/>
    <n v="10"/>
    <n v="78"/>
    <s v="No"/>
    <n v="0"/>
    <n v="13"/>
    <n v="2105.35"/>
    <x v="2"/>
  </r>
  <r>
    <x v="564"/>
    <x v="2"/>
    <x v="0"/>
    <s v="Manufacturing"/>
    <x v="3"/>
    <n v="6"/>
    <n v="348.25"/>
    <x v="3"/>
    <x v="2"/>
    <d v="2023-10-27T00:00:00"/>
    <s v="Yes"/>
    <x v="263"/>
    <x v="0"/>
    <n v="10"/>
    <n v="1"/>
    <n v="19"/>
    <s v="No"/>
    <n v="1"/>
    <n v="24"/>
    <n v="8358"/>
    <x v="0"/>
  </r>
  <r>
    <x v="565"/>
    <x v="0"/>
    <x v="0"/>
    <s v="Real Estate"/>
    <x v="3"/>
    <n v="8"/>
    <n v="161.94999999999999"/>
    <x v="0"/>
    <x v="1"/>
    <d v="2022-08-24T00:00:00"/>
    <s v="Yes"/>
    <x v="264"/>
    <x v="4"/>
    <n v="1"/>
    <n v="3"/>
    <n v="15"/>
    <s v="No"/>
    <n v="1"/>
    <n v="0"/>
    <n v="0"/>
    <x v="0"/>
  </r>
  <r>
    <x v="566"/>
    <x v="1"/>
    <x v="1"/>
    <s v="Manufacturing"/>
    <x v="2"/>
    <n v="27"/>
    <n v="120.78"/>
    <x v="1"/>
    <x v="1"/>
    <d v="2024-06-22T00:00:00"/>
    <s v="Yes"/>
    <x v="265"/>
    <x v="4"/>
    <n v="10"/>
    <n v="4"/>
    <n v="11"/>
    <s v="No"/>
    <n v="1"/>
    <n v="1"/>
    <n v="120.78"/>
    <x v="0"/>
  </r>
  <r>
    <x v="567"/>
    <x v="1"/>
    <x v="1"/>
    <s v="Education"/>
    <x v="0"/>
    <n v="50"/>
    <n v="205.83"/>
    <x v="3"/>
    <x v="0"/>
    <d v="2025-05-25T00:00:00"/>
    <s v="No"/>
    <x v="1"/>
    <x v="1"/>
    <n v="5"/>
    <n v="8"/>
    <n v="66"/>
    <s v="No"/>
    <n v="0"/>
    <n v="11"/>
    <n v="2264.13"/>
    <x v="2"/>
  </r>
  <r>
    <x v="568"/>
    <x v="0"/>
    <x v="0"/>
    <s v="Healthcare"/>
    <x v="2"/>
    <n v="13"/>
    <n v="221.2"/>
    <x v="0"/>
    <x v="1"/>
    <d v="2025-05-31T00:00:00"/>
    <s v="No"/>
    <x v="1"/>
    <x v="1"/>
    <n v="5"/>
    <n v="5"/>
    <n v="53"/>
    <s v="No"/>
    <n v="0"/>
    <n v="11"/>
    <n v="2433.1999999999998"/>
    <x v="1"/>
  </r>
  <r>
    <x v="569"/>
    <x v="2"/>
    <x v="1"/>
    <s v="Technology"/>
    <x v="2"/>
    <n v="23"/>
    <n v="727.34"/>
    <x v="0"/>
    <x v="0"/>
    <d v="2024-05-07T00:00:00"/>
    <s v="No"/>
    <x v="1"/>
    <x v="1"/>
    <n v="2"/>
    <n v="5"/>
    <n v="19"/>
    <s v="No"/>
    <n v="0"/>
    <n v="23"/>
    <n v="16728.82"/>
    <x v="0"/>
  </r>
  <r>
    <x v="570"/>
    <x v="1"/>
    <x v="0"/>
    <s v="Legal"/>
    <x v="3"/>
    <n v="2"/>
    <n v="33.35"/>
    <x v="3"/>
    <x v="0"/>
    <d v="2022-02-06T00:00:00"/>
    <s v="Yes"/>
    <x v="266"/>
    <x v="3"/>
    <n v="15"/>
    <n v="1"/>
    <n v="15"/>
    <s v="No"/>
    <n v="1"/>
    <n v="0"/>
    <n v="0"/>
    <x v="0"/>
  </r>
  <r>
    <x v="571"/>
    <x v="1"/>
    <x v="0"/>
    <s v="Manufacturing"/>
    <x v="3"/>
    <n v="3"/>
    <n v="37.700000000000003"/>
    <x v="5"/>
    <x v="2"/>
    <d v="2022-11-08T00:00:00"/>
    <s v="Yes"/>
    <x v="267"/>
    <x v="3"/>
    <n v="6"/>
    <n v="5"/>
    <n v="33"/>
    <s v="No"/>
    <n v="1"/>
    <n v="9"/>
    <n v="339.3"/>
    <x v="1"/>
  </r>
  <r>
    <x v="572"/>
    <x v="0"/>
    <x v="1"/>
    <s v="Consulting"/>
    <x v="0"/>
    <n v="34"/>
    <n v="399.54"/>
    <x v="2"/>
    <x v="2"/>
    <d v="2022-08-16T00:00:00"/>
    <s v="No"/>
    <x v="1"/>
    <x v="1"/>
    <n v="6"/>
    <n v="5"/>
    <n v="39"/>
    <s v="No"/>
    <n v="0"/>
    <n v="44"/>
    <n v="17579.760000000002"/>
    <x v="1"/>
  </r>
  <r>
    <x v="573"/>
    <x v="3"/>
    <x v="0"/>
    <s v="Education"/>
    <x v="0"/>
    <n v="78"/>
    <n v="6262.45"/>
    <x v="4"/>
    <x v="0"/>
    <d v="2023-10-05T00:00:00"/>
    <s v="No"/>
    <x v="1"/>
    <x v="1"/>
    <n v="1"/>
    <n v="9"/>
    <n v="50"/>
    <s v="Yes"/>
    <n v="0"/>
    <n v="30"/>
    <n v="187873.5"/>
    <x v="1"/>
  </r>
  <r>
    <x v="574"/>
    <x v="2"/>
    <x v="1"/>
    <s v="Consulting"/>
    <x v="0"/>
    <n v="38"/>
    <n v="1107.93"/>
    <x v="3"/>
    <x v="0"/>
    <d v="2025-11-09T00:00:00"/>
    <s v="No"/>
    <x v="1"/>
    <x v="1"/>
    <n v="11"/>
    <n v="8"/>
    <n v="26"/>
    <s v="No"/>
    <n v="0"/>
    <n v="5"/>
    <n v="5539.6500000000005"/>
    <x v="0"/>
  </r>
  <r>
    <x v="575"/>
    <x v="1"/>
    <x v="1"/>
    <s v="Manufacturing"/>
    <x v="3"/>
    <n v="4"/>
    <n v="35.74"/>
    <x v="2"/>
    <x v="0"/>
    <d v="2024-05-26T00:00:00"/>
    <s v="Yes"/>
    <x v="268"/>
    <x v="0"/>
    <n v="1"/>
    <n v="5"/>
    <n v="35"/>
    <s v="No"/>
    <n v="1"/>
    <n v="0"/>
    <n v="0"/>
    <x v="1"/>
  </r>
  <r>
    <x v="576"/>
    <x v="1"/>
    <x v="1"/>
    <s v="Finance"/>
    <x v="4"/>
    <n v="123"/>
    <n v="475.74"/>
    <x v="4"/>
    <x v="0"/>
    <d v="2022-08-18T00:00:00"/>
    <s v="Yes"/>
    <x v="269"/>
    <x v="0"/>
    <n v="5"/>
    <n v="3"/>
    <n v="22"/>
    <s v="No"/>
    <n v="1"/>
    <n v="12"/>
    <n v="5708.88"/>
    <x v="0"/>
  </r>
  <r>
    <x v="577"/>
    <x v="0"/>
    <x v="0"/>
    <s v="Education"/>
    <x v="1"/>
    <n v="74"/>
    <n v="944.05"/>
    <x v="0"/>
    <x v="0"/>
    <d v="2024-03-08T00:00:00"/>
    <s v="Yes"/>
    <x v="153"/>
    <x v="7"/>
    <n v="9"/>
    <n v="3"/>
    <n v="38"/>
    <s v="No"/>
    <n v="1"/>
    <n v="19"/>
    <n v="17936.95"/>
    <x v="1"/>
  </r>
  <r>
    <x v="578"/>
    <x v="0"/>
    <x v="0"/>
    <s v="Finance"/>
    <x v="2"/>
    <n v="9"/>
    <n v="173.8"/>
    <x v="1"/>
    <x v="0"/>
    <d v="2025-09-22T00:00:00"/>
    <s v="No"/>
    <x v="1"/>
    <x v="1"/>
    <n v="8"/>
    <n v="8"/>
    <n v="74"/>
    <s v="No"/>
    <n v="0"/>
    <n v="7"/>
    <n v="1216.6000000000001"/>
    <x v="2"/>
  </r>
  <r>
    <x v="579"/>
    <x v="0"/>
    <x v="0"/>
    <s v="Education"/>
    <x v="4"/>
    <n v="33"/>
    <n v="458.2"/>
    <x v="3"/>
    <x v="0"/>
    <d v="2024-03-20T00:00:00"/>
    <s v="Yes"/>
    <x v="270"/>
    <x v="0"/>
    <n v="13"/>
    <n v="2"/>
    <n v="39"/>
    <s v="No"/>
    <n v="1"/>
    <n v="6"/>
    <n v="2749.2"/>
    <x v="1"/>
  </r>
  <r>
    <x v="580"/>
    <x v="2"/>
    <x v="0"/>
    <s v="Technology"/>
    <x v="4"/>
    <n v="105"/>
    <n v="3303.4"/>
    <x v="1"/>
    <x v="2"/>
    <d v="2024-11-10T00:00:00"/>
    <s v="No"/>
    <x v="1"/>
    <x v="1"/>
    <n v="0"/>
    <n v="8"/>
    <n v="75"/>
    <s v="Yes"/>
    <n v="0"/>
    <n v="17"/>
    <n v="56157.8"/>
    <x v="2"/>
  </r>
  <r>
    <x v="581"/>
    <x v="0"/>
    <x v="0"/>
    <s v="Consulting"/>
    <x v="2"/>
    <n v="35"/>
    <n v="481.9"/>
    <x v="2"/>
    <x v="0"/>
    <d v="2023-11-19T00:00:00"/>
    <s v="Yes"/>
    <x v="271"/>
    <x v="2"/>
    <n v="0"/>
    <n v="2"/>
    <n v="32"/>
    <s v="No"/>
    <n v="1"/>
    <n v="19"/>
    <n v="9156.1"/>
    <x v="1"/>
  </r>
  <r>
    <x v="582"/>
    <x v="0"/>
    <x v="0"/>
    <s v="Finance"/>
    <x v="3"/>
    <n v="4"/>
    <n v="114.55"/>
    <x v="5"/>
    <x v="0"/>
    <d v="2025-06-17T00:00:00"/>
    <s v="Yes"/>
    <x v="272"/>
    <x v="0"/>
    <n v="3"/>
    <n v="5"/>
    <n v="50"/>
    <s v="No"/>
    <n v="1"/>
    <n v="0"/>
    <n v="0"/>
    <x v="1"/>
  </r>
  <r>
    <x v="583"/>
    <x v="2"/>
    <x v="0"/>
    <s v="Media"/>
    <x v="2"/>
    <n v="18"/>
    <n v="706.45"/>
    <x v="0"/>
    <x v="0"/>
    <d v="2025-10-26T00:00:00"/>
    <s v="No"/>
    <x v="1"/>
    <x v="1"/>
    <n v="0"/>
    <n v="1"/>
    <n v="37"/>
    <s v="No"/>
    <n v="0"/>
    <n v="6"/>
    <n v="4238.7000000000007"/>
    <x v="1"/>
  </r>
  <r>
    <x v="584"/>
    <x v="2"/>
    <x v="0"/>
    <s v="Technology"/>
    <x v="2"/>
    <n v="5"/>
    <n v="318.39999999999998"/>
    <x v="1"/>
    <x v="0"/>
    <d v="2023-11-16T00:00:00"/>
    <s v="No"/>
    <x v="1"/>
    <x v="1"/>
    <n v="0"/>
    <n v="4"/>
    <n v="77"/>
    <s v="Yes"/>
    <n v="0"/>
    <n v="29"/>
    <n v="9233.5999999999985"/>
    <x v="2"/>
  </r>
  <r>
    <x v="585"/>
    <x v="1"/>
    <x v="0"/>
    <s v="Healthcare"/>
    <x v="4"/>
    <n v="116"/>
    <n v="529.25"/>
    <x v="4"/>
    <x v="0"/>
    <d v="2025-10-11T00:00:00"/>
    <s v="No"/>
    <x v="1"/>
    <x v="1"/>
    <n v="6"/>
    <n v="3"/>
    <n v="68"/>
    <s v="No"/>
    <n v="0"/>
    <n v="6"/>
    <n v="3175.5"/>
    <x v="2"/>
  </r>
  <r>
    <x v="586"/>
    <x v="2"/>
    <x v="0"/>
    <s v="Technology"/>
    <x v="3"/>
    <n v="1"/>
    <n v="199"/>
    <x v="3"/>
    <x v="3"/>
    <d v="2022-09-04T00:00:00"/>
    <s v="No"/>
    <x v="1"/>
    <x v="1"/>
    <n v="2"/>
    <n v="6"/>
    <n v="84"/>
    <s v="Yes"/>
    <n v="0"/>
    <n v="43"/>
    <n v="8557"/>
    <x v="2"/>
  </r>
  <r>
    <x v="587"/>
    <x v="2"/>
    <x v="0"/>
    <s v="Retail"/>
    <x v="2"/>
    <n v="33"/>
    <n v="1154.2"/>
    <x v="0"/>
    <x v="3"/>
    <d v="2023-01-17T00:00:00"/>
    <s v="Yes"/>
    <x v="273"/>
    <x v="3"/>
    <n v="1"/>
    <n v="3"/>
    <n v="37"/>
    <s v="No"/>
    <n v="1"/>
    <n v="30"/>
    <n v="34626"/>
    <x v="1"/>
  </r>
  <r>
    <x v="588"/>
    <x v="1"/>
    <x v="1"/>
    <s v="Healthcare"/>
    <x v="3"/>
    <n v="7"/>
    <n v="46.83"/>
    <x v="3"/>
    <x v="3"/>
    <d v="2023-11-21T00:00:00"/>
    <s v="Yes"/>
    <x v="274"/>
    <x v="4"/>
    <n v="11"/>
    <n v="1"/>
    <n v="18"/>
    <s v="No"/>
    <n v="1"/>
    <n v="7"/>
    <n v="327.81"/>
    <x v="0"/>
  </r>
  <r>
    <x v="589"/>
    <x v="1"/>
    <x v="0"/>
    <s v="Consulting"/>
    <x v="2"/>
    <n v="21"/>
    <n v="116"/>
    <x v="0"/>
    <x v="3"/>
    <d v="2023-09-20T00:00:00"/>
    <s v="Yes"/>
    <x v="76"/>
    <x v="6"/>
    <n v="11"/>
    <n v="3"/>
    <n v="16"/>
    <s v="No"/>
    <n v="1"/>
    <n v="2"/>
    <n v="232"/>
    <x v="0"/>
  </r>
  <r>
    <x v="590"/>
    <x v="2"/>
    <x v="0"/>
    <s v="Technology"/>
    <x v="2"/>
    <n v="6"/>
    <n v="348.25"/>
    <x v="0"/>
    <x v="0"/>
    <d v="2023-11-22T00:00:00"/>
    <s v="No"/>
    <x v="1"/>
    <x v="1"/>
    <n v="1"/>
    <n v="2"/>
    <n v="27"/>
    <s v="Yes"/>
    <n v="0"/>
    <n v="29"/>
    <n v="10099.25"/>
    <x v="0"/>
  </r>
  <r>
    <x v="591"/>
    <x v="0"/>
    <x v="0"/>
    <s v="Media"/>
    <x v="2"/>
    <n v="6"/>
    <n v="138.25"/>
    <x v="2"/>
    <x v="1"/>
    <d v="2022-10-02T00:00:00"/>
    <s v="Yes"/>
    <x v="275"/>
    <x v="2"/>
    <n v="5"/>
    <n v="3"/>
    <n v="11"/>
    <s v="No"/>
    <n v="1"/>
    <n v="16"/>
    <n v="2212"/>
    <x v="0"/>
  </r>
  <r>
    <x v="592"/>
    <x v="2"/>
    <x v="0"/>
    <s v="Real Estate"/>
    <x v="0"/>
    <n v="47"/>
    <n v="1572.1"/>
    <x v="0"/>
    <x v="0"/>
    <d v="2023-02-07T00:00:00"/>
    <s v="No"/>
    <x v="1"/>
    <x v="1"/>
    <n v="1"/>
    <n v="9"/>
    <n v="27"/>
    <s v="No"/>
    <n v="0"/>
    <n v="38"/>
    <n v="59739.799999999996"/>
    <x v="0"/>
  </r>
  <r>
    <x v="593"/>
    <x v="2"/>
    <x v="1"/>
    <s v="Legal"/>
    <x v="0"/>
    <n v="76"/>
    <n v="2072.09"/>
    <x v="0"/>
    <x v="2"/>
    <d v="2022-12-14T00:00:00"/>
    <s v="Yes"/>
    <x v="276"/>
    <x v="0"/>
    <n v="4"/>
    <n v="2"/>
    <n v="35"/>
    <s v="No"/>
    <n v="1"/>
    <n v="3"/>
    <n v="6216.27"/>
    <x v="1"/>
  </r>
  <r>
    <x v="594"/>
    <x v="2"/>
    <x v="0"/>
    <s v="Manufacturing"/>
    <x v="2"/>
    <n v="11"/>
    <n v="497.5"/>
    <x v="0"/>
    <x v="1"/>
    <d v="2023-04-11T00:00:00"/>
    <s v="Yes"/>
    <x v="277"/>
    <x v="7"/>
    <n v="3"/>
    <n v="3"/>
    <n v="48"/>
    <s v="No"/>
    <n v="1"/>
    <n v="19"/>
    <n v="9452.5"/>
    <x v="1"/>
  </r>
  <r>
    <x v="595"/>
    <x v="0"/>
    <x v="1"/>
    <s v="Healthcare"/>
    <x v="2"/>
    <n v="32"/>
    <n v="379.4"/>
    <x v="3"/>
    <x v="0"/>
    <d v="2024-12-05T00:00:00"/>
    <s v="No"/>
    <x v="1"/>
    <x v="1"/>
    <n v="3"/>
    <n v="6"/>
    <n v="65"/>
    <s v="Yes"/>
    <n v="0"/>
    <n v="16"/>
    <n v="6070.4"/>
    <x v="2"/>
  </r>
  <r>
    <x v="596"/>
    <x v="0"/>
    <x v="1"/>
    <s v="Technology"/>
    <x v="4"/>
    <n v="106"/>
    <n v="1124.76"/>
    <x v="1"/>
    <x v="1"/>
    <d v="2023-06-25T00:00:00"/>
    <s v="No"/>
    <x v="1"/>
    <x v="1"/>
    <n v="3"/>
    <n v="3"/>
    <n v="57"/>
    <s v="No"/>
    <n v="0"/>
    <n v="34"/>
    <n v="38241.839999999997"/>
    <x v="1"/>
  </r>
  <r>
    <x v="597"/>
    <x v="1"/>
    <x v="0"/>
    <s v="Technology"/>
    <x v="4"/>
    <n v="84"/>
    <n v="390.05"/>
    <x v="0"/>
    <x v="3"/>
    <d v="2023-09-05T00:00:00"/>
    <s v="No"/>
    <x v="1"/>
    <x v="1"/>
    <n v="3"/>
    <n v="4"/>
    <n v="67"/>
    <s v="No"/>
    <n v="0"/>
    <n v="31"/>
    <n v="12091.550000000001"/>
    <x v="2"/>
  </r>
  <r>
    <x v="598"/>
    <x v="0"/>
    <x v="1"/>
    <s v="Retail"/>
    <x v="2"/>
    <n v="18"/>
    <n v="238.38"/>
    <x v="0"/>
    <x v="0"/>
    <d v="2023-06-30T00:00:00"/>
    <s v="No"/>
    <x v="1"/>
    <x v="1"/>
    <n v="11"/>
    <n v="4"/>
    <n v="50"/>
    <s v="No"/>
    <n v="0"/>
    <n v="34"/>
    <n v="8104.92"/>
    <x v="1"/>
  </r>
  <r>
    <x v="599"/>
    <x v="1"/>
    <x v="0"/>
    <s v="Media"/>
    <x v="1"/>
    <n v="87"/>
    <n v="403.1"/>
    <x v="2"/>
    <x v="1"/>
    <d v="2025-11-15T00:00:00"/>
    <s v="No"/>
    <x v="1"/>
    <x v="1"/>
    <n v="10"/>
    <n v="10"/>
    <n v="70"/>
    <s v="No"/>
    <n v="0"/>
    <n v="5"/>
    <n v="2015.5"/>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1">
  <r>
    <x v="0"/>
    <s v="Monthly"/>
    <s v="Retail"/>
    <s v="51-200"/>
    <n v="64"/>
    <n v="825.55"/>
    <s v="Organic Search"/>
    <s v="North America"/>
    <d v="2022-06-27T00:00:00"/>
    <s v="Yes"/>
    <d v="2024-03-05T00:00:00"/>
    <s v="Price Too High"/>
    <n v="13"/>
    <n v="3"/>
    <n v="15"/>
    <s v="No"/>
    <n v="1"/>
    <n v="20"/>
    <n v="16511"/>
    <s v="High Risk"/>
    <n v="82.555000000000007"/>
  </r>
  <r>
    <x v="0"/>
    <s v="Annual"/>
    <s v="Retail"/>
    <s v="51-200"/>
    <n v="35"/>
    <n v="409.62"/>
    <s v="Direct Sales"/>
    <s v="North America"/>
    <d v="2023-03-19T00:00:00"/>
    <s v="No"/>
    <m/>
    <m/>
    <n v="1"/>
    <n v="3"/>
    <n v="52"/>
    <s v="Yes"/>
    <n v="0"/>
    <n v="37"/>
    <n v="15155.94"/>
    <s v="Medium Risk"/>
    <n v="75.779700000000005"/>
  </r>
  <r>
    <x v="1"/>
    <s v="Annual"/>
    <s v="Finance"/>
    <s v="500+"/>
    <n v="266"/>
    <n v="1004.49"/>
    <s v="Partner"/>
    <s v="North America"/>
    <d v="2024-10-19T00:00:00"/>
    <s v="Yes"/>
    <d v="2025-04-13T00:00:00"/>
    <s v="Price Too High"/>
    <n v="10"/>
    <n v="4"/>
    <n v="31"/>
    <s v="No"/>
    <n v="1"/>
    <n v="5"/>
    <n v="5022.45"/>
    <s v="Medium Risk"/>
    <n v="25.11225"/>
  </r>
  <r>
    <x v="2"/>
    <s v="Annual"/>
    <s v="Real Estate"/>
    <s v="11-01"/>
    <n v="34"/>
    <n v="1006.44"/>
    <s v="Partner"/>
    <s v="Europe"/>
    <d v="2023-01-07T00:00:00"/>
    <s v="No"/>
    <m/>
    <m/>
    <n v="3"/>
    <n v="7"/>
    <n v="58"/>
    <s v="No"/>
    <n v="0"/>
    <n v="39"/>
    <n v="39251.160000000003"/>
    <s v="Medium Risk"/>
    <n v="196.25580000000002"/>
  </r>
  <r>
    <x v="1"/>
    <s v="Annual"/>
    <s v="Manufacturing"/>
    <s v="51-200"/>
    <n v="48"/>
    <n v="198.43"/>
    <s v="Direct Sales"/>
    <s v="North America"/>
    <d v="2025-09-23T00:00:00"/>
    <s v="No"/>
    <m/>
    <m/>
    <n v="3"/>
    <n v="7"/>
    <n v="59"/>
    <s v="No"/>
    <n v="0"/>
    <n v="7"/>
    <n v="1389.01"/>
    <s v="Medium Risk"/>
    <n v="6.9450500000000002"/>
  </r>
  <r>
    <x v="2"/>
    <s v="Annual"/>
    <s v="Technology"/>
    <s v="1-10"/>
    <n v="3"/>
    <n v="219.9"/>
    <s v="Referral"/>
    <s v="North America"/>
    <d v="2023-09-28T00:00:00"/>
    <s v="No"/>
    <m/>
    <m/>
    <n v="12"/>
    <n v="3"/>
    <n v="48"/>
    <s v="No"/>
    <n v="0"/>
    <n v="31"/>
    <n v="6816.9000000000005"/>
    <s v="Medium Risk"/>
    <n v="34.084500000000006"/>
  </r>
  <r>
    <x v="1"/>
    <s v="Monthly"/>
    <s v="Finance"/>
    <s v="201-500"/>
    <n v="121"/>
    <n v="551"/>
    <s v="Partner"/>
    <s v="Europe"/>
    <d v="2024-03-07T00:00:00"/>
    <s v="Yes"/>
    <d v="2025-04-08T00:00:00"/>
    <s v="Poor Support"/>
    <n v="0"/>
    <n v="2"/>
    <n v="14"/>
    <s v="No"/>
    <n v="1"/>
    <n v="13"/>
    <n v="7163"/>
    <s v="High Risk"/>
    <n v="35.814999999999998"/>
  </r>
  <r>
    <x v="1"/>
    <s v="Monthly"/>
    <s v="Technology"/>
    <s v="51-200"/>
    <n v="48"/>
    <n v="233.45"/>
    <s v="Referral"/>
    <s v="Europe"/>
    <d v="2025-04-08T00:00:00"/>
    <s v="Yes"/>
    <d v="2025-06-08T00:00:00"/>
    <s v="Price Too High"/>
    <n v="10"/>
    <n v="2"/>
    <n v="28"/>
    <s v="No"/>
    <n v="1"/>
    <n v="2"/>
    <n v="466.9"/>
    <s v="High Risk"/>
    <n v="2.3344999999999998"/>
  </r>
  <r>
    <x v="1"/>
    <s v="Monthly"/>
    <s v="Media"/>
    <s v="1-10"/>
    <n v="3"/>
    <n v="37.700000000000003"/>
    <s v="Partner"/>
    <s v="North America"/>
    <d v="2023-01-22T00:00:00"/>
    <s v="Yes"/>
    <d v="2023-04-21T00:00:00"/>
    <s v="Switched Competitor"/>
    <n v="5"/>
    <n v="6"/>
    <n v="15"/>
    <s v="No"/>
    <n v="1"/>
    <n v="2"/>
    <n v="75.400000000000006"/>
    <s v="High Risk"/>
    <n v="0.377"/>
  </r>
  <r>
    <x v="2"/>
    <s v="Monthly"/>
    <s v="Healthcare"/>
    <s v="51-200"/>
    <n v="80"/>
    <n v="2557.15"/>
    <s v="Partner"/>
    <s v="North America"/>
    <d v="2022-06-27T00:00:00"/>
    <s v="Yes"/>
    <d v="2023-12-01T00:00:00"/>
    <s v="Budget Cuts"/>
    <n v="3"/>
    <n v="4"/>
    <n v="48"/>
    <s v="No"/>
    <n v="1"/>
    <n v="17"/>
    <n v="43471.55"/>
    <s v="Medium Risk"/>
    <n v="217.35775000000001"/>
  </r>
  <r>
    <x v="2"/>
    <s v="Annual"/>
    <s v="Healthcare"/>
    <s v="201-500"/>
    <n v="77"/>
    <n v="2097.46"/>
    <s v="Organic Search"/>
    <s v="Asia Pacific"/>
    <d v="2022-12-07T00:00:00"/>
    <s v="Yes"/>
    <d v="2023-06-14T00:00:00"/>
    <s v="Company Closed"/>
    <n v="9"/>
    <n v="1"/>
    <n v="37"/>
    <s v="No"/>
    <n v="1"/>
    <n v="6"/>
    <n v="12584.76"/>
    <s v="Medium Risk"/>
    <n v="62.9238"/>
  </r>
  <r>
    <x v="2"/>
    <s v="Annual"/>
    <s v="Technology"/>
    <s v="11-01"/>
    <n v="30"/>
    <n v="904.95"/>
    <s v="Referral"/>
    <s v="North America"/>
    <d v="2023-11-17T00:00:00"/>
    <s v="No"/>
    <m/>
    <m/>
    <n v="4"/>
    <n v="1"/>
    <n v="47"/>
    <s v="Yes"/>
    <n v="0"/>
    <n v="29"/>
    <n v="26243.550000000003"/>
    <s v="Medium Risk"/>
    <n v="131.21775000000002"/>
  </r>
  <r>
    <x v="2"/>
    <s v="Monthly"/>
    <s v="Finance"/>
    <s v="1-10"/>
    <n v="4"/>
    <n v="288.55"/>
    <s v="Referral"/>
    <s v="Europe"/>
    <d v="2024-07-02T00:00:00"/>
    <s v="No"/>
    <m/>
    <m/>
    <n v="10"/>
    <n v="9"/>
    <n v="84"/>
    <s v="Yes"/>
    <n v="0"/>
    <n v="21"/>
    <n v="6059.55"/>
    <s v="Low Risk"/>
    <n v="30.297750000000001"/>
  </r>
  <r>
    <x v="1"/>
    <s v="Monthly"/>
    <s v="Retail"/>
    <s v="51-200"/>
    <n v="56"/>
    <n v="268.25"/>
    <s v="Paid Ads"/>
    <s v="Europe"/>
    <d v="2022-05-29T00:00:00"/>
    <s v="Yes"/>
    <d v="2022-09-27T00:00:00"/>
    <s v="Poor Support"/>
    <n v="1"/>
    <n v="2"/>
    <n v="21"/>
    <s v="No"/>
    <n v="1"/>
    <n v="3"/>
    <n v="804.75"/>
    <s v="High Risk"/>
    <n v="4.0237499999999997"/>
  </r>
  <r>
    <x v="1"/>
    <s v="Monthly"/>
    <s v="Education"/>
    <s v="1-10"/>
    <n v="6"/>
    <n v="50.75"/>
    <s v="Referral"/>
    <s v="North America"/>
    <d v="2024-01-17T00:00:00"/>
    <s v="Yes"/>
    <d v="2024-05-16T00:00:00"/>
    <s v="No Longer Needed"/>
    <n v="7"/>
    <n v="3"/>
    <n v="25"/>
    <s v="No"/>
    <n v="1"/>
    <n v="3"/>
    <n v="152.25"/>
    <s v="High Risk"/>
    <n v="0.76124999999999998"/>
  </r>
  <r>
    <x v="1"/>
    <s v="Monthly"/>
    <s v="Manufacturing"/>
    <s v="201-500"/>
    <n v="52"/>
    <n v="250.85"/>
    <s v="Organic Search"/>
    <s v="North America"/>
    <d v="2022-06-01T00:00:00"/>
    <s v="Yes"/>
    <d v="2023-01-24T00:00:00"/>
    <s v="Budget Cuts"/>
    <n v="11"/>
    <n v="4"/>
    <n v="34"/>
    <s v="No"/>
    <n v="1"/>
    <n v="7"/>
    <n v="1755.95"/>
    <s v="Medium Risk"/>
    <n v="8.7797499999999999"/>
  </r>
  <r>
    <x v="2"/>
    <s v="Monthly"/>
    <s v="Education"/>
    <s v="11-01"/>
    <n v="34"/>
    <n v="1184.05"/>
    <s v="Paid Ads"/>
    <s v="North America"/>
    <d v="2024-12-23T00:00:00"/>
    <s v="Yes"/>
    <d v="2024-12-31T00:00:00"/>
    <s v="No Longer Needed"/>
    <n v="3"/>
    <n v="3"/>
    <n v="49"/>
    <s v="No"/>
    <n v="1"/>
    <n v="0"/>
    <n v="0"/>
    <s v="Medium Risk"/>
    <n v="0"/>
  </r>
  <r>
    <x v="1"/>
    <s v="Monthly"/>
    <s v="Media"/>
    <s v="51-200"/>
    <n v="64"/>
    <n v="303.05"/>
    <s v="Referral"/>
    <s v="Europe"/>
    <d v="2023-06-21T00:00:00"/>
    <s v="Yes"/>
    <d v="2023-08-05T00:00:00"/>
    <s v="Company Closed"/>
    <n v="14"/>
    <n v="3"/>
    <n v="25"/>
    <s v="No"/>
    <n v="1"/>
    <n v="1"/>
    <n v="303.05"/>
    <s v="High Risk"/>
    <n v="1.51525"/>
  </r>
  <r>
    <x v="0"/>
    <s v="Annual"/>
    <s v="Legal"/>
    <s v="500+"/>
    <n v="67"/>
    <n v="731.93"/>
    <s v="Partner"/>
    <s v="Latin America"/>
    <d v="2024-03-26T00:00:00"/>
    <s v="Yes"/>
    <d v="2025-04-23T00:00:00"/>
    <s v="Company Closed"/>
    <n v="10"/>
    <n v="2"/>
    <n v="10"/>
    <s v="No"/>
    <n v="1"/>
    <n v="12"/>
    <n v="8783.16"/>
    <s v="High Risk"/>
    <n v="43.915799999999997"/>
  </r>
  <r>
    <x v="3"/>
    <s v="Annual"/>
    <s v="Education"/>
    <s v="1-10"/>
    <n v="7"/>
    <n v="805.88"/>
    <s v="Organic Search"/>
    <s v="Asia Pacific"/>
    <d v="2023-08-11T00:00:00"/>
    <s v="No"/>
    <m/>
    <m/>
    <n v="8"/>
    <n v="4"/>
    <n v="93"/>
    <s v="No"/>
    <n v="0"/>
    <n v="32"/>
    <n v="25788.16"/>
    <s v="Low Risk"/>
    <n v="128.9408"/>
  </r>
  <r>
    <x v="0"/>
    <s v="Annual"/>
    <s v="Retail"/>
    <s v="51-200"/>
    <n v="66"/>
    <n v="721.86"/>
    <s v="Partner"/>
    <s v="Europe"/>
    <d v="2023-11-23T00:00:00"/>
    <s v="Yes"/>
    <d v="2024-05-18T00:00:00"/>
    <s v="Price Too High"/>
    <n v="7"/>
    <n v="2"/>
    <n v="19"/>
    <s v="No"/>
    <n v="1"/>
    <n v="5"/>
    <n v="3609.3"/>
    <s v="High Risk"/>
    <n v="18.046500000000002"/>
  </r>
  <r>
    <x v="2"/>
    <s v="Annual"/>
    <s v="Education"/>
    <s v="1-10"/>
    <n v="6"/>
    <n v="296.01"/>
    <s v="Referral"/>
    <s v="Europe"/>
    <d v="2022-07-02T00:00:00"/>
    <s v="No"/>
    <m/>
    <m/>
    <n v="5"/>
    <n v="7"/>
    <n v="40"/>
    <s v="No"/>
    <n v="0"/>
    <n v="45"/>
    <n v="13320.449999999999"/>
    <s v="Medium Risk"/>
    <n v="66.602249999999998"/>
  </r>
  <r>
    <x v="1"/>
    <s v="Monthly"/>
    <s v="Healthcare"/>
    <s v="11-01"/>
    <n v="25"/>
    <n v="133.4"/>
    <s v="Paid Ads"/>
    <s v="Europe"/>
    <d v="2024-02-17T00:00:00"/>
    <s v="Yes"/>
    <d v="2024-04-23T00:00:00"/>
    <s v="Company Closed"/>
    <n v="11"/>
    <n v="1"/>
    <n v="16"/>
    <s v="No"/>
    <n v="1"/>
    <n v="2"/>
    <n v="266.8"/>
    <s v="High Risk"/>
    <n v="1.3340000000000001"/>
  </r>
  <r>
    <x v="3"/>
    <s v="Annual"/>
    <s v="Manufacturing"/>
    <s v="11-01"/>
    <n v="14"/>
    <n v="1251.24"/>
    <s v="Referral"/>
    <s v="Europe"/>
    <d v="2025-05-22T00:00:00"/>
    <s v="No"/>
    <m/>
    <m/>
    <n v="11"/>
    <n v="1"/>
    <n v="85"/>
    <s v="No"/>
    <n v="0"/>
    <n v="11"/>
    <n v="13763.64"/>
    <s v="Low Risk"/>
    <n v="68.81819999999999"/>
  </r>
  <r>
    <x v="1"/>
    <s v="Annual"/>
    <s v="Retail"/>
    <s v="11-01"/>
    <n v="7"/>
    <n v="46.83"/>
    <s v="Referral"/>
    <s v="North America"/>
    <d v="2024-06-08T00:00:00"/>
    <s v="No"/>
    <m/>
    <m/>
    <n v="1"/>
    <n v="1"/>
    <n v="42"/>
    <s v="No"/>
    <n v="0"/>
    <n v="22"/>
    <n v="1030.26"/>
    <s v="Medium Risk"/>
    <n v="5.1513"/>
  </r>
  <r>
    <x v="3"/>
    <s v="Annual"/>
    <s v="Media"/>
    <s v="1-10"/>
    <n v="4"/>
    <n v="615.02"/>
    <s v="Referral"/>
    <s v="Europe"/>
    <d v="2025-07-25T00:00:00"/>
    <s v="No"/>
    <m/>
    <m/>
    <n v="2"/>
    <n v="9"/>
    <n v="73"/>
    <s v="No"/>
    <n v="0"/>
    <n v="9"/>
    <n v="5535.18"/>
    <s v="Low Risk"/>
    <n v="27.675900000000002"/>
  </r>
  <r>
    <x v="1"/>
    <s v="Monthly"/>
    <s v="Consulting"/>
    <s v="1-10"/>
    <n v="1"/>
    <n v="29"/>
    <s v="Partner"/>
    <s v="Asia Pacific"/>
    <d v="2023-09-10T00:00:00"/>
    <s v="Yes"/>
    <d v="2025-04-24T00:00:00"/>
    <s v="Poor Support"/>
    <n v="8"/>
    <n v="3"/>
    <n v="10"/>
    <s v="No"/>
    <n v="1"/>
    <n v="19"/>
    <n v="551"/>
    <s v="High Risk"/>
    <n v="2.7549999999999999"/>
  </r>
  <r>
    <x v="0"/>
    <s v="Annual"/>
    <s v="Technology"/>
    <s v="51-200"/>
    <n v="35"/>
    <n v="409.62"/>
    <s v="Organic Search"/>
    <s v="Latin America"/>
    <d v="2025-12-29T00:00:00"/>
    <s v="No"/>
    <m/>
    <m/>
    <n v="8"/>
    <n v="4"/>
    <n v="53"/>
    <s v="No"/>
    <n v="0"/>
    <n v="4"/>
    <n v="1638.48"/>
    <s v="Medium Risk"/>
    <n v="8.1923999999999992"/>
  </r>
  <r>
    <x v="1"/>
    <s v="Monthly"/>
    <s v="Real Estate"/>
    <s v="11-01"/>
    <n v="22"/>
    <n v="120.35"/>
    <s v="Organic Search"/>
    <s v="North America"/>
    <d v="2022-12-06T00:00:00"/>
    <s v="Yes"/>
    <d v="2023-08-15T00:00:00"/>
    <s v="Missing Features"/>
    <n v="4"/>
    <n v="2"/>
    <n v="17"/>
    <s v="No"/>
    <n v="1"/>
    <n v="8"/>
    <n v="962.8"/>
    <s v="High Risk"/>
    <n v="4.8140000000000001"/>
  </r>
  <r>
    <x v="2"/>
    <s v="Annual"/>
    <s v="Real Estate"/>
    <s v="500+"/>
    <n v="230"/>
    <n v="5979.45"/>
    <s v="Partner"/>
    <s v="Europe"/>
    <d v="2023-11-04T00:00:00"/>
    <s v="No"/>
    <m/>
    <m/>
    <n v="9"/>
    <n v="3"/>
    <n v="76"/>
    <s v="No"/>
    <n v="0"/>
    <n v="29"/>
    <n v="173404.05"/>
    <s v="Low Risk"/>
    <n v="867.02024999999992"/>
  </r>
  <r>
    <x v="2"/>
    <s v="Annual"/>
    <s v="Finance"/>
    <s v="500+"/>
    <n v="174"/>
    <n v="4558.59"/>
    <s v="Direct Sales"/>
    <s v="Europe"/>
    <d v="2024-07-20T00:00:00"/>
    <s v="No"/>
    <m/>
    <m/>
    <n v="8"/>
    <n v="7"/>
    <n v="84"/>
    <s v="No"/>
    <n v="0"/>
    <n v="21"/>
    <n v="95730.39"/>
    <s v="Low Risk"/>
    <n v="478.65195"/>
  </r>
  <r>
    <x v="3"/>
    <s v="Annual"/>
    <s v="Technology"/>
    <s v="1-10"/>
    <n v="5"/>
    <n v="678.64"/>
    <s v="Referral"/>
    <s v="North America"/>
    <d v="2023-03-28T00:00:00"/>
    <s v="No"/>
    <m/>
    <m/>
    <n v="7"/>
    <n v="8"/>
    <n v="16"/>
    <s v="No"/>
    <n v="0"/>
    <n v="37"/>
    <n v="25109.68"/>
    <s v="High Risk"/>
    <n v="125.5484"/>
  </r>
  <r>
    <x v="1"/>
    <s v="Annual"/>
    <s v="Consulting"/>
    <s v="1-10"/>
    <n v="6"/>
    <n v="43.14"/>
    <s v="Organic Search"/>
    <s v="Latin America"/>
    <d v="2024-05-19T00:00:00"/>
    <s v="Yes"/>
    <d v="2024-07-29T00:00:00"/>
    <s v="No Longer Needed"/>
    <n v="11"/>
    <n v="3"/>
    <n v="30"/>
    <s v="No"/>
    <n v="1"/>
    <n v="2"/>
    <n v="86.28"/>
    <s v="Medium Risk"/>
    <n v="0.43140000000000001"/>
  </r>
  <r>
    <x v="3"/>
    <s v="Annual"/>
    <s v="Education"/>
    <s v="11-01"/>
    <n v="35"/>
    <n v="2587.3200000000002"/>
    <s v="Referral"/>
    <s v="North America"/>
    <d v="2023-09-25T00:00:00"/>
    <s v="No"/>
    <m/>
    <m/>
    <n v="5"/>
    <n v="8"/>
    <n v="33"/>
    <s v="Yes"/>
    <n v="0"/>
    <n v="31"/>
    <n v="80206.92"/>
    <s v="Medium Risk"/>
    <n v="401.03460000000001"/>
  </r>
  <r>
    <x v="1"/>
    <s v="Monthly"/>
    <s v="Manufacturing"/>
    <s v="51-200"/>
    <n v="70"/>
    <n v="329.15"/>
    <s v="Organic Search"/>
    <s v="Latin America"/>
    <d v="2022-05-08T00:00:00"/>
    <s v="Yes"/>
    <d v="2022-07-24T00:00:00"/>
    <s v="Switched Competitor"/>
    <n v="0"/>
    <n v="6"/>
    <n v="30"/>
    <s v="No"/>
    <n v="1"/>
    <n v="2"/>
    <n v="658.3"/>
    <s v="Medium Risk"/>
    <n v="3.2914999999999996"/>
  </r>
  <r>
    <x v="0"/>
    <s v="Monthly"/>
    <s v="Manufacturing"/>
    <s v="1-10"/>
    <n v="7"/>
    <n v="150.1"/>
    <s v="Referral"/>
    <s v="Latin America"/>
    <d v="2023-04-22T00:00:00"/>
    <s v="Yes"/>
    <d v="2023-12-24T00:00:00"/>
    <s v="Company Closed"/>
    <n v="10"/>
    <n v="6"/>
    <n v="16"/>
    <s v="No"/>
    <n v="1"/>
    <n v="8"/>
    <n v="1200.8"/>
    <s v="High Risk"/>
    <n v="6.0039999999999996"/>
  </r>
  <r>
    <x v="0"/>
    <s v="Monthly"/>
    <s v="Technology"/>
    <s v="1-10"/>
    <n v="2"/>
    <n v="90.85"/>
    <s v="Direct Sales"/>
    <s v="North America"/>
    <d v="2024-06-14T00:00:00"/>
    <s v="Yes"/>
    <d v="2024-11-08T00:00:00"/>
    <s v="No Longer Needed"/>
    <n v="11"/>
    <n v="2"/>
    <n v="34"/>
    <s v="No"/>
    <n v="1"/>
    <n v="4"/>
    <n v="363.4"/>
    <s v="Medium Risk"/>
    <n v="1.8169999999999999"/>
  </r>
  <r>
    <x v="0"/>
    <s v="Monthly"/>
    <s v="Real Estate"/>
    <s v="1-10"/>
    <n v="5"/>
    <n v="126.4"/>
    <s v="Organic Search"/>
    <s v="Europe"/>
    <d v="2022-06-06T00:00:00"/>
    <s v="Yes"/>
    <d v="2022-08-11T00:00:00"/>
    <s v="Budget Cuts"/>
    <n v="6"/>
    <n v="1"/>
    <n v="30"/>
    <s v="No"/>
    <n v="1"/>
    <n v="2"/>
    <n v="252.8"/>
    <s v="Medium Risk"/>
    <n v="1.264"/>
  </r>
  <r>
    <x v="2"/>
    <s v="Annual"/>
    <s v="Retail"/>
    <s v="51-200"/>
    <n v="30"/>
    <n v="904.95"/>
    <s v="Organic Search"/>
    <s v="Asia Pacific"/>
    <d v="2024-05-02T00:00:00"/>
    <s v="No"/>
    <m/>
    <m/>
    <n v="4"/>
    <n v="9"/>
    <n v="71"/>
    <s v="Yes"/>
    <n v="0"/>
    <n v="23"/>
    <n v="20813.850000000002"/>
    <s v="Low Risk"/>
    <n v="104.06925000000001"/>
  </r>
  <r>
    <x v="2"/>
    <s v="Annual"/>
    <s v="Media"/>
    <s v="11-01"/>
    <n v="24"/>
    <n v="752.72"/>
    <s v="Direct Sales"/>
    <s v="Asia Pacific"/>
    <d v="2023-05-17T00:00:00"/>
    <s v="No"/>
    <m/>
    <m/>
    <n v="9"/>
    <n v="2"/>
    <n v="76"/>
    <s v="No"/>
    <n v="0"/>
    <n v="35"/>
    <n v="26345.200000000001"/>
    <s v="Low Risk"/>
    <n v="131.726"/>
  </r>
  <r>
    <x v="1"/>
    <s v="Monthly"/>
    <s v="Education"/>
    <s v="51-200"/>
    <n v="53"/>
    <n v="255.2"/>
    <s v="Referral"/>
    <s v="Asia Pacific"/>
    <d v="2022-12-21T00:00:00"/>
    <s v="Yes"/>
    <d v="2023-05-19T00:00:00"/>
    <s v="Poor Support"/>
    <n v="4"/>
    <n v="5"/>
    <n v="45"/>
    <s v="No"/>
    <n v="1"/>
    <n v="4"/>
    <n v="1020.8"/>
    <s v="Medium Risk"/>
    <n v="5.1040000000000001"/>
  </r>
  <r>
    <x v="1"/>
    <s v="Monthly"/>
    <s v="Real Estate"/>
    <s v="51-200"/>
    <n v="34"/>
    <n v="172.55"/>
    <s v="Partner"/>
    <s v="Europe"/>
    <d v="2025-01-04T00:00:00"/>
    <s v="No"/>
    <m/>
    <m/>
    <n v="9"/>
    <n v="2"/>
    <n v="73"/>
    <s v="No"/>
    <n v="0"/>
    <n v="15"/>
    <n v="2588.25"/>
    <s v="Low Risk"/>
    <n v="12.94125"/>
  </r>
  <r>
    <x v="0"/>
    <s v="Annual"/>
    <s v="Manufacturing"/>
    <s v="1-10"/>
    <n v="2"/>
    <n v="77.22"/>
    <s v="Paid Ads"/>
    <s v="Europe"/>
    <d v="2022-02-20T00:00:00"/>
    <s v="No"/>
    <m/>
    <m/>
    <n v="9"/>
    <n v="9"/>
    <n v="20"/>
    <s v="No"/>
    <n v="0"/>
    <n v="50"/>
    <n v="3861"/>
    <s v="High Risk"/>
    <n v="19.305"/>
  </r>
  <r>
    <x v="0"/>
    <s v="Annual"/>
    <s v="Legal"/>
    <s v="1-10"/>
    <n v="2"/>
    <n v="77.22"/>
    <s v="Social Media"/>
    <s v="North America"/>
    <d v="2022-04-27T00:00:00"/>
    <s v="Yes"/>
    <d v="2022-08-02T00:00:00"/>
    <s v="Price Too High"/>
    <n v="7"/>
    <n v="6"/>
    <n v="20"/>
    <s v="No"/>
    <n v="1"/>
    <n v="3"/>
    <n v="231.66"/>
    <s v="High Risk"/>
    <n v="1.1582999999999999"/>
  </r>
  <r>
    <x v="1"/>
    <s v="Monthly"/>
    <s v="Retail"/>
    <s v="11-01"/>
    <n v="7"/>
    <n v="55.1"/>
    <s v="Social Media"/>
    <s v="Latin America"/>
    <d v="2025-09-10T00:00:00"/>
    <s v="No"/>
    <m/>
    <m/>
    <n v="12"/>
    <n v="4"/>
    <n v="67"/>
    <s v="No"/>
    <n v="0"/>
    <n v="7"/>
    <n v="385.7"/>
    <s v="Low Risk"/>
    <n v="1.9284999999999999"/>
  </r>
  <r>
    <x v="0"/>
    <s v="Monthly"/>
    <s v="Finance"/>
    <s v="1-10"/>
    <n v="4"/>
    <n v="114.55"/>
    <s v="Paid Ads"/>
    <s v="North America"/>
    <d v="2023-07-07T00:00:00"/>
    <s v="Yes"/>
    <d v="2024-02-28T00:00:00"/>
    <s v="Missing Features"/>
    <n v="1"/>
    <n v="6"/>
    <n v="42"/>
    <s v="No"/>
    <n v="1"/>
    <n v="7"/>
    <n v="801.85"/>
    <s v="Medium Risk"/>
    <n v="4.0092499999999998"/>
  </r>
  <r>
    <x v="2"/>
    <s v="Monthly"/>
    <s v="Media"/>
    <s v="1-10"/>
    <n v="5"/>
    <n v="318.39999999999998"/>
    <s v="Partner"/>
    <s v="North America"/>
    <d v="2023-01-17T00:00:00"/>
    <s v="Yes"/>
    <d v="2025-06-13T00:00:00"/>
    <s v="No Longer Needed"/>
    <n v="15"/>
    <n v="4"/>
    <n v="46"/>
    <s v="No"/>
    <n v="1"/>
    <n v="28"/>
    <n v="8915.1999999999989"/>
    <s v="Medium Risk"/>
    <n v="44.575999999999993"/>
  </r>
  <r>
    <x v="2"/>
    <s v="Annual"/>
    <s v="Education"/>
    <s v="1-10"/>
    <n v="4"/>
    <n v="245.27"/>
    <s v="Referral"/>
    <s v="Europe"/>
    <d v="2022-04-18T00:00:00"/>
    <s v="Yes"/>
    <d v="2022-07-12T00:00:00"/>
    <s v="Budget Cuts"/>
    <n v="4"/>
    <n v="5"/>
    <n v="16"/>
    <s v="No"/>
    <n v="1"/>
    <n v="2"/>
    <n v="490.54"/>
    <s v="High Risk"/>
    <n v="2.4527000000000001"/>
  </r>
  <r>
    <x v="0"/>
    <s v="Monthly"/>
    <s v="Real Estate"/>
    <s v="51-200"/>
    <n v="36"/>
    <n v="493.75"/>
    <s v="Partner"/>
    <s v="Asia Pacific"/>
    <d v="2022-05-18T00:00:00"/>
    <s v="Yes"/>
    <d v="2022-08-27T00:00:00"/>
    <s v="Poor Support"/>
    <n v="1"/>
    <n v="6"/>
    <n v="26"/>
    <s v="No"/>
    <n v="1"/>
    <n v="3"/>
    <n v="1481.25"/>
    <s v="High Risk"/>
    <n v="7.40625"/>
  </r>
  <r>
    <x v="1"/>
    <s v="Annual"/>
    <s v="Healthcare"/>
    <s v="1-10"/>
    <n v="7"/>
    <n v="46.83"/>
    <s v="Organic Search"/>
    <s v="North America"/>
    <d v="2022-06-22T00:00:00"/>
    <s v="Yes"/>
    <d v="2024-06-30T00:00:00"/>
    <s v="Price Too High"/>
    <n v="2"/>
    <n v="3"/>
    <n v="38"/>
    <s v="No"/>
    <n v="1"/>
    <n v="24"/>
    <n v="1123.92"/>
    <s v="Medium Risk"/>
    <n v="5.6196000000000002"/>
  </r>
  <r>
    <x v="0"/>
    <s v="Monthly"/>
    <s v="Consulting"/>
    <s v="51-200"/>
    <n v="58"/>
    <n v="754.45"/>
    <s v="Partner"/>
    <s v="Europe"/>
    <d v="2022-12-27T00:00:00"/>
    <s v="Yes"/>
    <d v="2023-04-14T00:00:00"/>
    <s v="Price Too High"/>
    <n v="10"/>
    <n v="3"/>
    <n v="29"/>
    <s v="No"/>
    <n v="1"/>
    <n v="3"/>
    <n v="2263.3500000000004"/>
    <s v="High Risk"/>
    <n v="11.316750000000003"/>
  </r>
  <r>
    <x v="1"/>
    <s v="Monthly"/>
    <s v="Healthcare"/>
    <s v="201-500"/>
    <n v="138"/>
    <n v="624.95000000000005"/>
    <s v="Referral"/>
    <s v="North America"/>
    <d v="2025-03-16T00:00:00"/>
    <s v="Yes"/>
    <d v="2025-07-15T00:00:00"/>
    <s v="Budget Cuts"/>
    <n v="0"/>
    <n v="1"/>
    <n v="38"/>
    <s v="No"/>
    <n v="1"/>
    <n v="3"/>
    <n v="1874.8500000000001"/>
    <s v="Medium Risk"/>
    <n v="9.37425"/>
  </r>
  <r>
    <x v="1"/>
    <s v="Monthly"/>
    <s v="Manufacturing"/>
    <s v="1-10"/>
    <n v="4"/>
    <n v="42.05"/>
    <s v="Organic Search"/>
    <s v="North America"/>
    <d v="2025-04-03T00:00:00"/>
    <s v="Yes"/>
    <d v="2025-07-04T00:00:00"/>
    <s v="Price Too High"/>
    <n v="1"/>
    <n v="2"/>
    <n v="43"/>
    <s v="No"/>
    <n v="1"/>
    <n v="3"/>
    <n v="126.14999999999999"/>
    <s v="Medium Risk"/>
    <n v="0.63074999999999992"/>
  </r>
  <r>
    <x v="0"/>
    <s v="Annual"/>
    <s v="Healthcare"/>
    <s v="201-500"/>
    <n v="82"/>
    <n v="883.02"/>
    <s v="Social Media"/>
    <s v="North America"/>
    <d v="2024-06-23T00:00:00"/>
    <s v="No"/>
    <m/>
    <m/>
    <n v="4"/>
    <n v="8"/>
    <n v="81"/>
    <s v="No"/>
    <n v="0"/>
    <n v="22"/>
    <n v="19426.439999999999"/>
    <s v="Low Risk"/>
    <n v="97.132199999999997"/>
  </r>
  <r>
    <x v="2"/>
    <s v="Monthly"/>
    <s v="Manufacturing"/>
    <s v="1-10"/>
    <n v="7"/>
    <n v="378.1"/>
    <s v="Organic Search"/>
    <s v="North America"/>
    <d v="2022-04-13T00:00:00"/>
    <s v="Yes"/>
    <d v="2024-09-16T00:00:00"/>
    <s v="Missing Features"/>
    <n v="6"/>
    <n v="2"/>
    <n v="21"/>
    <s v="No"/>
    <n v="1"/>
    <n v="29"/>
    <n v="10964.900000000001"/>
    <s v="High Risk"/>
    <n v="54.824500000000008"/>
  </r>
  <r>
    <x v="2"/>
    <s v="Monthly"/>
    <s v="Technology"/>
    <s v="11-01"/>
    <n v="14"/>
    <n v="587.04999999999995"/>
    <s v="Paid Ads"/>
    <s v="North America"/>
    <d v="2024-12-23T00:00:00"/>
    <s v="Yes"/>
    <d v="2025-11-15T00:00:00"/>
    <s v="Missing Features"/>
    <n v="3"/>
    <n v="2"/>
    <n v="37"/>
    <s v="No"/>
    <n v="1"/>
    <n v="10"/>
    <n v="5870.5"/>
    <s v="Medium Risk"/>
    <n v="29.352499999999999"/>
  </r>
  <r>
    <x v="0"/>
    <s v="Annual"/>
    <s v="Healthcare"/>
    <s v="11-01"/>
    <n v="34"/>
    <n v="399.54"/>
    <s v="Referral"/>
    <s v="North America"/>
    <d v="2024-07-12T00:00:00"/>
    <s v="Yes"/>
    <d v="2025-08-05T00:00:00"/>
    <s v="No Longer Needed"/>
    <n v="1"/>
    <n v="1"/>
    <n v="10"/>
    <s v="No"/>
    <n v="1"/>
    <n v="12"/>
    <n v="4794.4800000000005"/>
    <s v="High Risk"/>
    <n v="23.972400000000004"/>
  </r>
  <r>
    <x v="1"/>
    <s v="Monthly"/>
    <s v="Real Estate"/>
    <s v="201-500"/>
    <n v="48"/>
    <n v="233.45"/>
    <s v="Referral"/>
    <s v="Europe"/>
    <d v="2022-09-10T00:00:00"/>
    <s v="Yes"/>
    <d v="2023-03-17T00:00:00"/>
    <s v="Price Too High"/>
    <n v="2"/>
    <n v="1"/>
    <n v="12"/>
    <s v="No"/>
    <n v="1"/>
    <n v="6"/>
    <n v="1400.6999999999998"/>
    <s v="High Risk"/>
    <n v="7.0034999999999989"/>
  </r>
  <r>
    <x v="0"/>
    <s v="Annual"/>
    <s v="Healthcare"/>
    <s v="11-01"/>
    <n v="28"/>
    <n v="339.11"/>
    <s v="Social Media"/>
    <s v="North America"/>
    <d v="2023-12-30T00:00:00"/>
    <s v="Yes"/>
    <d v="2024-10-10T00:00:00"/>
    <s v="Missing Features"/>
    <n v="5"/>
    <n v="1"/>
    <n v="13"/>
    <s v="No"/>
    <n v="1"/>
    <n v="9"/>
    <n v="3051.9900000000002"/>
    <s v="High Risk"/>
    <n v="15.259950000000002"/>
  </r>
  <r>
    <x v="0"/>
    <s v="Monthly"/>
    <s v="Finance"/>
    <s v="51-200"/>
    <n v="59"/>
    <n v="766.3"/>
    <s v="Partner"/>
    <s v="Asia Pacific"/>
    <d v="2024-07-30T00:00:00"/>
    <s v="Yes"/>
    <d v="2024-09-07T00:00:00"/>
    <s v="Switched Competitor"/>
    <n v="12"/>
    <n v="1"/>
    <n v="45"/>
    <s v="No"/>
    <n v="1"/>
    <n v="1"/>
    <n v="766.3"/>
    <s v="Medium Risk"/>
    <n v="3.8314999999999997"/>
  </r>
  <r>
    <x v="2"/>
    <s v="Monthly"/>
    <s v="Legal"/>
    <s v="51-200"/>
    <n v="53"/>
    <n v="1751.2"/>
    <s v="Referral"/>
    <s v="Europe"/>
    <d v="2022-03-25T00:00:00"/>
    <s v="Yes"/>
    <d v="2023-04-06T00:00:00"/>
    <s v="Switched Competitor"/>
    <n v="13"/>
    <n v="5"/>
    <n v="11"/>
    <s v="No"/>
    <n v="1"/>
    <n v="12"/>
    <n v="21014.400000000001"/>
    <s v="High Risk"/>
    <n v="105.072"/>
  </r>
  <r>
    <x v="0"/>
    <s v="Monthly"/>
    <s v="Finance"/>
    <s v="11-01"/>
    <n v="21"/>
    <n v="316"/>
    <s v="Paid Ads"/>
    <s v="North America"/>
    <d v="2022-10-01T00:00:00"/>
    <s v="Yes"/>
    <d v="2024-04-13T00:00:00"/>
    <s v="Switched Competitor"/>
    <n v="1"/>
    <n v="3"/>
    <n v="16"/>
    <s v="No"/>
    <n v="1"/>
    <n v="18"/>
    <n v="5688"/>
    <s v="High Risk"/>
    <n v="28.44"/>
  </r>
  <r>
    <x v="3"/>
    <s v="Annual"/>
    <s v="Retail"/>
    <s v="11-01"/>
    <n v="18"/>
    <n v="1505.73"/>
    <s v="Organic Search"/>
    <s v="North America"/>
    <d v="2025-08-21T00:00:00"/>
    <s v="No"/>
    <m/>
    <m/>
    <n v="3"/>
    <n v="7"/>
    <n v="61"/>
    <s v="No"/>
    <n v="0"/>
    <n v="8"/>
    <n v="12045.84"/>
    <s v="Low Risk"/>
    <n v="60.229199999999999"/>
  </r>
  <r>
    <x v="0"/>
    <s v="Annual"/>
    <s v="Retail"/>
    <s v="51-200"/>
    <n v="51"/>
    <n v="570.77"/>
    <s v="Direct Sales"/>
    <s v="Asia Pacific"/>
    <d v="2022-10-02T00:00:00"/>
    <s v="No"/>
    <m/>
    <m/>
    <n v="1"/>
    <n v="10"/>
    <n v="33"/>
    <s v="No"/>
    <n v="0"/>
    <n v="42"/>
    <n v="23972.34"/>
    <s v="Medium Risk"/>
    <n v="119.8617"/>
  </r>
  <r>
    <x v="1"/>
    <s v="Monthly"/>
    <s v="Manufacturing"/>
    <s v="201-500"/>
    <n v="60"/>
    <n v="285.64999999999998"/>
    <s v="Direct Sales"/>
    <s v="North America"/>
    <d v="2022-11-12T00:00:00"/>
    <s v="Yes"/>
    <d v="2022-11-20T00:00:00"/>
    <s v="Poor Support"/>
    <n v="13"/>
    <n v="3"/>
    <n v="46"/>
    <s v="No"/>
    <n v="1"/>
    <n v="0"/>
    <n v="0"/>
    <s v="Medium Risk"/>
    <n v="0"/>
  </r>
  <r>
    <x v="1"/>
    <s v="Annual"/>
    <s v="Education"/>
    <s v="51-200"/>
    <n v="55"/>
    <n v="224.31"/>
    <s v="Organic Search"/>
    <s v="North America"/>
    <d v="2024-06-28T00:00:00"/>
    <s v="Yes"/>
    <d v="2024-07-21T00:00:00"/>
    <s v="Poor Support"/>
    <n v="12"/>
    <n v="1"/>
    <n v="12"/>
    <s v="No"/>
    <n v="1"/>
    <n v="0"/>
    <n v="0"/>
    <s v="High Risk"/>
    <n v="0"/>
  </r>
  <r>
    <x v="2"/>
    <s v="Annual"/>
    <s v="Media"/>
    <s v="1-10"/>
    <n v="7"/>
    <n v="321.38"/>
    <s v="Paid Ads"/>
    <s v="North America"/>
    <d v="2023-09-28T00:00:00"/>
    <s v="No"/>
    <m/>
    <m/>
    <n v="4"/>
    <n v="8"/>
    <n v="30"/>
    <s v="No"/>
    <n v="0"/>
    <n v="31"/>
    <n v="9962.7800000000007"/>
    <s v="Medium Risk"/>
    <n v="49.813900000000004"/>
  </r>
  <r>
    <x v="0"/>
    <s v="Annual"/>
    <s v="Education"/>
    <s v="1-10"/>
    <n v="1"/>
    <n v="67.150000000000006"/>
    <s v="Referral"/>
    <s v="Asia Pacific"/>
    <d v="2025-12-02T00:00:00"/>
    <s v="No"/>
    <m/>
    <m/>
    <n v="7"/>
    <n v="3"/>
    <n v="29"/>
    <s v="No"/>
    <n v="0"/>
    <n v="4"/>
    <n v="268.60000000000002"/>
    <s v="High Risk"/>
    <n v="1.3430000000000002"/>
  </r>
  <r>
    <x v="1"/>
    <s v="Annual"/>
    <s v="Media"/>
    <s v="1-10"/>
    <n v="2"/>
    <n v="28.35"/>
    <s v="Organic Search"/>
    <s v="Europe"/>
    <d v="2023-07-30T00:00:00"/>
    <s v="Yes"/>
    <d v="2024-09-17T00:00:00"/>
    <s v="Missing Features"/>
    <n v="1"/>
    <n v="2"/>
    <n v="25"/>
    <s v="No"/>
    <n v="1"/>
    <n v="13"/>
    <n v="368.55"/>
    <s v="High Risk"/>
    <n v="1.8427500000000001"/>
  </r>
  <r>
    <x v="2"/>
    <s v="Monthly"/>
    <s v="Technology"/>
    <s v="51-200"/>
    <n v="64"/>
    <n v="2079.5500000000002"/>
    <s v="Organic Search"/>
    <s v="North America"/>
    <d v="2022-08-25T00:00:00"/>
    <s v="Yes"/>
    <d v="2022-08-27T00:00:00"/>
    <s v="No Longer Needed"/>
    <n v="3"/>
    <n v="1"/>
    <n v="28"/>
    <s v="No"/>
    <n v="1"/>
    <n v="0"/>
    <n v="0"/>
    <s v="High Risk"/>
    <n v="0"/>
  </r>
  <r>
    <x v="3"/>
    <s v="Monthly"/>
    <s v="Retail"/>
    <s v="201-500"/>
    <n v="58"/>
    <n v="4765.45"/>
    <s v="Organic Search"/>
    <s v="Europe"/>
    <d v="2022-01-22T00:00:00"/>
    <s v="No"/>
    <m/>
    <m/>
    <n v="4"/>
    <n v="10"/>
    <n v="42"/>
    <s v="No"/>
    <n v="0"/>
    <n v="51"/>
    <n v="243037.94999999998"/>
    <s v="Medium Risk"/>
    <n v="1215.18975"/>
  </r>
  <r>
    <x v="1"/>
    <s v="Monthly"/>
    <s v="Consulting"/>
    <s v="51-200"/>
    <n v="31"/>
    <n v="159.5"/>
    <s v="Organic Search"/>
    <s v="North America"/>
    <d v="2024-06-21T00:00:00"/>
    <s v="No"/>
    <m/>
    <m/>
    <n v="7"/>
    <n v="10"/>
    <n v="81"/>
    <s v="No"/>
    <n v="0"/>
    <n v="22"/>
    <n v="3509"/>
    <s v="Low Risk"/>
    <n v="17.545000000000002"/>
  </r>
  <r>
    <x v="0"/>
    <s v="Monthly"/>
    <s v="Healthcare"/>
    <s v="201-500"/>
    <n v="106"/>
    <n v="1323.25"/>
    <s v="Referral"/>
    <s v="North America"/>
    <d v="2025-05-20T00:00:00"/>
    <s v="No"/>
    <m/>
    <m/>
    <n v="7"/>
    <n v="2"/>
    <n v="87"/>
    <s v="Yes"/>
    <n v="0"/>
    <n v="11"/>
    <n v="14555.75"/>
    <s v="Low Risk"/>
    <n v="72.778750000000002"/>
  </r>
  <r>
    <x v="1"/>
    <s v="Monthly"/>
    <s v="Legal"/>
    <s v="51-200"/>
    <n v="42"/>
    <n v="207.35"/>
    <s v="Paid Ads"/>
    <s v="North America"/>
    <d v="2023-12-14T00:00:00"/>
    <s v="Yes"/>
    <d v="2024-12-03T00:00:00"/>
    <s v="Company Closed"/>
    <n v="12"/>
    <n v="3"/>
    <n v="10"/>
    <s v="No"/>
    <n v="1"/>
    <n v="11"/>
    <n v="2280.85"/>
    <s v="High Risk"/>
    <n v="11.404249999999999"/>
  </r>
  <r>
    <x v="0"/>
    <s v="Monthly"/>
    <s v="Retail"/>
    <s v="1-10"/>
    <n v="6"/>
    <n v="138.25"/>
    <s v="Paid Ads"/>
    <s v="North America"/>
    <d v="2022-12-30T00:00:00"/>
    <s v="No"/>
    <m/>
    <m/>
    <n v="5"/>
    <n v="1"/>
    <n v="49"/>
    <s v="No"/>
    <n v="0"/>
    <n v="40"/>
    <n v="5530"/>
    <s v="Medium Risk"/>
    <n v="27.65"/>
  </r>
  <r>
    <x v="0"/>
    <s v="Annual"/>
    <s v="Healthcare"/>
    <s v="201-500"/>
    <n v="56"/>
    <n v="621.14"/>
    <s v="Referral"/>
    <s v="Europe"/>
    <d v="2024-03-03T00:00:00"/>
    <s v="No"/>
    <m/>
    <m/>
    <n v="2"/>
    <n v="5"/>
    <n v="87"/>
    <s v="No"/>
    <n v="0"/>
    <n v="25"/>
    <n v="15528.5"/>
    <s v="Low Risk"/>
    <n v="77.642499999999998"/>
  </r>
  <r>
    <x v="3"/>
    <s v="Monthly"/>
    <s v="Media"/>
    <s v="51-200"/>
    <n v="52"/>
    <n v="4316.3500000000004"/>
    <s v="Partner"/>
    <s v="Europe"/>
    <d v="2023-05-01T00:00:00"/>
    <s v="No"/>
    <m/>
    <m/>
    <n v="4"/>
    <n v="7"/>
    <n v="88"/>
    <s v="No"/>
    <n v="0"/>
    <n v="36"/>
    <n v="155388.6"/>
    <s v="Low Risk"/>
    <n v="776.94299999999998"/>
  </r>
  <r>
    <x v="1"/>
    <s v="Annual"/>
    <s v="Media"/>
    <s v="51-200"/>
    <n v="24"/>
    <n v="109.69"/>
    <s v="Partner"/>
    <s v="Europe"/>
    <d v="2023-02-21T00:00:00"/>
    <s v="Yes"/>
    <d v="2025-09-09T00:00:00"/>
    <s v="Budget Cuts"/>
    <n v="2"/>
    <n v="4"/>
    <n v="16"/>
    <s v="No"/>
    <n v="1"/>
    <n v="30"/>
    <n v="3290.7"/>
    <s v="High Risk"/>
    <n v="16.453499999999998"/>
  </r>
  <r>
    <x v="2"/>
    <s v="Monthly"/>
    <s v="Healthcare"/>
    <s v="51-200"/>
    <n v="40"/>
    <n v="1363.15"/>
    <s v="Social Media"/>
    <s v="North America"/>
    <d v="2024-01-06T00:00:00"/>
    <s v="No"/>
    <m/>
    <m/>
    <n v="0"/>
    <n v="4"/>
    <n v="29"/>
    <s v="No"/>
    <n v="0"/>
    <n v="27"/>
    <n v="36805.050000000003"/>
    <s v="High Risk"/>
    <n v="184.02525000000003"/>
  </r>
  <r>
    <x v="1"/>
    <s v="Monthly"/>
    <s v="Healthcare"/>
    <s v="11-01"/>
    <n v="5"/>
    <n v="46.4"/>
    <s v="Organic Search"/>
    <s v="Asia Pacific"/>
    <d v="2025-03-05T00:00:00"/>
    <s v="Yes"/>
    <d v="2025-04-06T00:00:00"/>
    <s v="No Longer Needed"/>
    <n v="0"/>
    <n v="6"/>
    <n v="20"/>
    <s v="No"/>
    <n v="1"/>
    <n v="1"/>
    <n v="46.4"/>
    <s v="High Risk"/>
    <n v="0.23199999999999998"/>
  </r>
  <r>
    <x v="2"/>
    <s v="Annual"/>
    <s v="Finance"/>
    <s v="11-01"/>
    <n v="24"/>
    <n v="752.72"/>
    <s v="Organic Search"/>
    <s v="Asia Pacific"/>
    <d v="2024-01-17T00:00:00"/>
    <s v="No"/>
    <m/>
    <m/>
    <n v="2"/>
    <n v="6"/>
    <n v="86"/>
    <s v="No"/>
    <n v="0"/>
    <n v="27"/>
    <n v="20323.440000000002"/>
    <s v="Low Risk"/>
    <n v="101.61720000000001"/>
  </r>
  <r>
    <x v="1"/>
    <s v="Annual"/>
    <s v="Technology"/>
    <s v="1-10"/>
    <n v="1"/>
    <n v="24.65"/>
    <s v="Social Media"/>
    <s v="Europe"/>
    <d v="2024-06-19T00:00:00"/>
    <s v="Yes"/>
    <d v="2025-06-04T00:00:00"/>
    <s v="Budget Cuts"/>
    <n v="14"/>
    <n v="2"/>
    <n v="22"/>
    <s v="No"/>
    <n v="1"/>
    <n v="11"/>
    <n v="271.14999999999998"/>
    <s v="High Risk"/>
    <n v="1.3557499999999998"/>
  </r>
  <r>
    <x v="0"/>
    <s v="Monthly"/>
    <s v="Education"/>
    <s v="1-10"/>
    <n v="5"/>
    <n v="126.4"/>
    <s v="Paid Ads"/>
    <s v="Asia Pacific"/>
    <d v="2025-09-12T00:00:00"/>
    <s v="No"/>
    <m/>
    <m/>
    <n v="6"/>
    <n v="9"/>
    <n v="56"/>
    <s v="No"/>
    <n v="0"/>
    <n v="7"/>
    <n v="884.80000000000007"/>
    <s v="Medium Risk"/>
    <n v="4.4240000000000004"/>
  </r>
  <r>
    <x v="2"/>
    <s v="Monthly"/>
    <s v="Real Estate"/>
    <s v="201-500"/>
    <n v="71"/>
    <n v="2288.5"/>
    <s v="Referral"/>
    <s v="Europe"/>
    <d v="2023-01-21T00:00:00"/>
    <s v="Yes"/>
    <d v="2024-01-17T00:00:00"/>
    <s v="Missing Features"/>
    <n v="6"/>
    <n v="5"/>
    <n v="29"/>
    <s v="No"/>
    <n v="1"/>
    <n v="11"/>
    <n v="25173.5"/>
    <s v="High Risk"/>
    <n v="125.86750000000001"/>
  </r>
  <r>
    <x v="1"/>
    <s v="Monthly"/>
    <s v="Real Estate"/>
    <s v="11-01"/>
    <n v="21"/>
    <n v="116"/>
    <s v="Partner"/>
    <s v="Latin America"/>
    <d v="2025-01-04T00:00:00"/>
    <s v="Yes"/>
    <d v="2025-03-14T00:00:00"/>
    <s v="Company Closed"/>
    <n v="13"/>
    <n v="2"/>
    <n v="42"/>
    <s v="No"/>
    <n v="1"/>
    <n v="2"/>
    <n v="232"/>
    <s v="Medium Risk"/>
    <n v="1.1599999999999999"/>
  </r>
  <r>
    <x v="2"/>
    <s v="Monthly"/>
    <s v="Technology"/>
    <s v="11-01"/>
    <n v="27"/>
    <n v="975.1"/>
    <s v="Partner"/>
    <s v="Europe"/>
    <d v="2024-07-06T00:00:00"/>
    <s v="No"/>
    <m/>
    <m/>
    <n v="9"/>
    <n v="7"/>
    <n v="35"/>
    <s v="No"/>
    <n v="0"/>
    <n v="21"/>
    <n v="20477.100000000002"/>
    <s v="Medium Risk"/>
    <n v="102.38550000000001"/>
  </r>
  <r>
    <x v="0"/>
    <s v="Annual"/>
    <s v="Education"/>
    <s v="51-200"/>
    <n v="17"/>
    <n v="228.31"/>
    <s v="Direct Sales"/>
    <s v="Europe"/>
    <d v="2024-05-09T00:00:00"/>
    <s v="No"/>
    <m/>
    <m/>
    <n v="2"/>
    <n v="4"/>
    <n v="88"/>
    <s v="No"/>
    <n v="0"/>
    <n v="23"/>
    <n v="5251.13"/>
    <s v="Low Risk"/>
    <n v="26.255649999999999"/>
  </r>
  <r>
    <x v="1"/>
    <s v="Monthly"/>
    <s v="Consulting"/>
    <s v="51-200"/>
    <n v="76"/>
    <n v="355.25"/>
    <s v="Referral"/>
    <s v="Asia Pacific"/>
    <d v="2024-12-15T00:00:00"/>
    <s v="Yes"/>
    <d v="2025-05-29T00:00:00"/>
    <s v="Budget Cuts"/>
    <n v="7"/>
    <n v="3"/>
    <n v="20"/>
    <s v="No"/>
    <n v="1"/>
    <n v="5"/>
    <n v="1776.25"/>
    <s v="High Risk"/>
    <n v="8.8812499999999996"/>
  </r>
  <r>
    <x v="0"/>
    <s v="Annual"/>
    <s v="Healthcare"/>
    <s v="201-500"/>
    <n v="75"/>
    <n v="812.51"/>
    <s v="Organic Search"/>
    <s v="Asia Pacific"/>
    <d v="2022-11-21T00:00:00"/>
    <s v="Yes"/>
    <d v="2023-10-01T00:00:00"/>
    <s v="Poor Support"/>
    <n v="12"/>
    <n v="6"/>
    <n v="20"/>
    <s v="No"/>
    <n v="1"/>
    <n v="10"/>
    <n v="8125.1"/>
    <s v="High Risk"/>
    <n v="40.625500000000002"/>
  </r>
  <r>
    <x v="2"/>
    <s v="Annual"/>
    <s v="Healthcare"/>
    <s v="51-200"/>
    <n v="67"/>
    <n v="1843.73"/>
    <s v="Paid Ads"/>
    <s v="Europe"/>
    <d v="2022-03-28T00:00:00"/>
    <s v="Yes"/>
    <d v="2022-11-20T00:00:00"/>
    <s v="Switched Competitor"/>
    <n v="7"/>
    <n v="1"/>
    <n v="36"/>
    <s v="No"/>
    <n v="1"/>
    <n v="7"/>
    <n v="12906.11"/>
    <s v="Medium Risk"/>
    <n v="64.530550000000005"/>
  </r>
  <r>
    <x v="3"/>
    <s v="Annual"/>
    <s v="Media"/>
    <s v="11-01"/>
    <n v="20"/>
    <n v="1632.98"/>
    <s v="Referral"/>
    <s v="North America"/>
    <d v="2024-10-31T00:00:00"/>
    <s v="Yes"/>
    <d v="2025-02-22T00:00:00"/>
    <s v="Company Closed"/>
    <n v="13"/>
    <n v="2"/>
    <n v="42"/>
    <s v="No"/>
    <n v="1"/>
    <n v="3"/>
    <n v="4898.9400000000005"/>
    <s v="Medium Risk"/>
    <n v="24.494700000000002"/>
  </r>
  <r>
    <x v="1"/>
    <s v="Monthly"/>
    <s v="Consulting"/>
    <s v="1-10"/>
    <n v="5"/>
    <n v="46.4"/>
    <s v="Partner"/>
    <s v="Asia Pacific"/>
    <d v="2025-03-16T00:00:00"/>
    <s v="No"/>
    <m/>
    <m/>
    <n v="7"/>
    <n v="7"/>
    <n v="41"/>
    <s v="No"/>
    <n v="0"/>
    <n v="13"/>
    <n v="603.19999999999993"/>
    <s v="Medium Risk"/>
    <n v="3.0159999999999996"/>
  </r>
  <r>
    <x v="1"/>
    <s v="Monthly"/>
    <s v="Manufacturing"/>
    <s v="1-10"/>
    <n v="7"/>
    <n v="55.1"/>
    <s v="Direct Sales"/>
    <s v="North America"/>
    <d v="2025-10-30T00:00:00"/>
    <s v="No"/>
    <m/>
    <m/>
    <n v="2"/>
    <n v="10"/>
    <n v="63"/>
    <s v="No"/>
    <n v="0"/>
    <n v="6"/>
    <n v="330.6"/>
    <s v="Low Risk"/>
    <n v="1.653"/>
  </r>
  <r>
    <x v="2"/>
    <s v="Monthly"/>
    <s v="Education"/>
    <s v="500+"/>
    <n v="234"/>
    <n v="7154.05"/>
    <s v="Partner"/>
    <s v="North America"/>
    <d v="2022-07-29T00:00:00"/>
    <s v="Yes"/>
    <d v="2025-09-30T00:00:00"/>
    <s v="Poor Support"/>
    <n v="4"/>
    <n v="6"/>
    <n v="14"/>
    <s v="No"/>
    <n v="1"/>
    <n v="38"/>
    <n v="271853.90000000002"/>
    <s v="High Risk"/>
    <n v="1359.2695000000001"/>
  </r>
  <r>
    <x v="0"/>
    <s v="Monthly"/>
    <s v="Finance"/>
    <s v="11-01"/>
    <n v="14"/>
    <n v="233.05"/>
    <s v="Paid Ads"/>
    <s v="North America"/>
    <d v="2022-10-25T00:00:00"/>
    <s v="Yes"/>
    <d v="2023-04-09T00:00:00"/>
    <s v="Budget Cuts"/>
    <n v="5"/>
    <n v="6"/>
    <n v="11"/>
    <s v="No"/>
    <n v="1"/>
    <n v="5"/>
    <n v="1165.25"/>
    <s v="High Risk"/>
    <n v="5.8262499999999999"/>
  </r>
  <r>
    <x v="1"/>
    <s v="Monthly"/>
    <s v="Legal"/>
    <s v="11-01"/>
    <n v="15"/>
    <n v="89.9"/>
    <s v="Direct Sales"/>
    <s v="North America"/>
    <d v="2023-08-31T00:00:00"/>
    <s v="Yes"/>
    <d v="2023-09-26T00:00:00"/>
    <s v="Price Too High"/>
    <n v="12"/>
    <n v="1"/>
    <n v="12"/>
    <s v="No"/>
    <n v="1"/>
    <n v="0"/>
    <n v="0"/>
    <s v="High Risk"/>
    <n v="0"/>
  </r>
  <r>
    <x v="3"/>
    <s v="Monthly"/>
    <s v="Education"/>
    <s v="51-200"/>
    <n v="31"/>
    <n v="2744.5"/>
    <s v="Organic Search"/>
    <s v="North America"/>
    <d v="2023-10-16T00:00:00"/>
    <s v="No"/>
    <m/>
    <m/>
    <n v="1"/>
    <n v="1"/>
    <n v="22"/>
    <s v="No"/>
    <n v="0"/>
    <n v="30"/>
    <n v="82335"/>
    <s v="High Risk"/>
    <n v="411.67500000000001"/>
  </r>
  <r>
    <x v="0"/>
    <s v="Annual"/>
    <s v="Consulting"/>
    <s v="1-10"/>
    <n v="8"/>
    <n v="137.66"/>
    <s v="Organic Search"/>
    <s v="North America"/>
    <d v="2025-11-28T00:00:00"/>
    <s v="Yes"/>
    <d v="2025-12-14T00:00:00"/>
    <s v="Company Closed"/>
    <n v="10"/>
    <n v="6"/>
    <n v="43"/>
    <s v="No"/>
    <n v="1"/>
    <n v="0"/>
    <n v="0"/>
    <s v="Medium Risk"/>
    <n v="0"/>
  </r>
  <r>
    <x v="3"/>
    <s v="Monthly"/>
    <s v="Manufacturing"/>
    <s v="11-01"/>
    <n v="6"/>
    <n v="873.25"/>
    <s v="Organic Search"/>
    <s v="Asia Pacific"/>
    <d v="2022-08-19T00:00:00"/>
    <s v="No"/>
    <m/>
    <m/>
    <n v="3"/>
    <n v="4"/>
    <n v="70"/>
    <s v="No"/>
    <n v="0"/>
    <n v="44"/>
    <n v="38423"/>
    <s v="Low Risk"/>
    <n v="192.11500000000001"/>
  </r>
  <r>
    <x v="2"/>
    <s v="Monthly"/>
    <s v="Real Estate"/>
    <s v="11-01"/>
    <n v="17"/>
    <n v="676.6"/>
    <s v="Paid Ads"/>
    <s v="Europe"/>
    <d v="2023-06-11T00:00:00"/>
    <s v="No"/>
    <m/>
    <m/>
    <n v="1"/>
    <n v="4"/>
    <n v="17"/>
    <s v="No"/>
    <n v="0"/>
    <n v="34"/>
    <n v="23004.400000000001"/>
    <s v="High Risk"/>
    <n v="115.02200000000001"/>
  </r>
  <r>
    <x v="1"/>
    <s v="Monthly"/>
    <s v="Legal"/>
    <s v="1-10"/>
    <n v="2"/>
    <n v="33.35"/>
    <s v="Organic Search"/>
    <s v="North America"/>
    <d v="2024-12-03T00:00:00"/>
    <s v="Yes"/>
    <d v="2025-01-28T00:00:00"/>
    <s v="Company Closed"/>
    <n v="6"/>
    <n v="3"/>
    <n v="15"/>
    <s v="No"/>
    <n v="1"/>
    <n v="1"/>
    <n v="33.35"/>
    <s v="High Risk"/>
    <n v="0.16675000000000001"/>
  </r>
  <r>
    <x v="0"/>
    <s v="Monthly"/>
    <s v="Consulting"/>
    <s v="500+"/>
    <n v="62"/>
    <n v="801.85"/>
    <s v="Referral"/>
    <s v="Latin America"/>
    <d v="2023-11-03T00:00:00"/>
    <s v="No"/>
    <m/>
    <m/>
    <n v="11"/>
    <n v="7"/>
    <n v="88"/>
    <s v="No"/>
    <n v="0"/>
    <n v="29"/>
    <n v="23253.65"/>
    <s v="Low Risk"/>
    <n v="116.26825000000001"/>
  </r>
  <r>
    <x v="0"/>
    <s v="Monthly"/>
    <s v="Consulting"/>
    <s v="1-10"/>
    <n v="4"/>
    <n v="114.55"/>
    <s v="Social Media"/>
    <s v="Europe"/>
    <d v="2024-04-24T00:00:00"/>
    <s v="No"/>
    <m/>
    <m/>
    <n v="0"/>
    <n v="6"/>
    <n v="32"/>
    <s v="No"/>
    <n v="0"/>
    <n v="24"/>
    <n v="2749.2"/>
    <s v="Medium Risk"/>
    <n v="13.745999999999999"/>
  </r>
  <r>
    <x v="2"/>
    <s v="Monthly"/>
    <s v="Education"/>
    <s v="11-01"/>
    <n v="17"/>
    <n v="676.6"/>
    <s v="Organic Search"/>
    <s v="Europe"/>
    <d v="2024-11-30T00:00:00"/>
    <s v="Yes"/>
    <d v="2025-05-31T00:00:00"/>
    <s v="Budget Cuts"/>
    <n v="12"/>
    <n v="1"/>
    <n v="30"/>
    <s v="No"/>
    <n v="1"/>
    <n v="6"/>
    <n v="4059.6000000000004"/>
    <s v="Medium Risk"/>
    <n v="20.298000000000002"/>
  </r>
  <r>
    <x v="0"/>
    <s v="Monthly"/>
    <s v="Manufacturing"/>
    <s v="201-500"/>
    <n v="42"/>
    <n v="564.85"/>
    <s v="Paid Ads"/>
    <s v="Latin America"/>
    <d v="2023-12-21T00:00:00"/>
    <s v="No"/>
    <m/>
    <m/>
    <n v="6"/>
    <n v="5"/>
    <n v="53"/>
    <s v="Yes"/>
    <n v="0"/>
    <n v="28"/>
    <n v="15815.800000000001"/>
    <s v="Medium Risk"/>
    <n v="79.079000000000008"/>
  </r>
  <r>
    <x v="1"/>
    <s v="Monthly"/>
    <s v="Retail"/>
    <s v="1-10"/>
    <n v="1"/>
    <n v="29"/>
    <s v="Referral"/>
    <s v="Asia Pacific"/>
    <d v="2024-11-18T00:00:00"/>
    <s v="Yes"/>
    <d v="2025-02-24T00:00:00"/>
    <s v="Poor Support"/>
    <n v="4"/>
    <n v="3"/>
    <n v="20"/>
    <s v="No"/>
    <n v="1"/>
    <n v="3"/>
    <n v="87"/>
    <s v="High Risk"/>
    <n v="0.435"/>
  </r>
  <r>
    <x v="2"/>
    <s v="Monthly"/>
    <s v="Legal"/>
    <s v="500+"/>
    <n v="139"/>
    <n v="4318.3"/>
    <s v="Referral"/>
    <s v="Europe"/>
    <d v="2022-08-18T00:00:00"/>
    <s v="Yes"/>
    <d v="2024-05-09T00:00:00"/>
    <s v="No Longer Needed"/>
    <n v="11"/>
    <n v="2"/>
    <n v="24"/>
    <s v="No"/>
    <n v="1"/>
    <n v="20"/>
    <n v="86366"/>
    <s v="High Risk"/>
    <n v="431.83"/>
  </r>
  <r>
    <x v="2"/>
    <s v="Annual"/>
    <s v="Consulting"/>
    <s v="51-200"/>
    <n v="30"/>
    <n v="904.95"/>
    <s v="Organic Search"/>
    <s v="North America"/>
    <d v="2025-08-16T00:00:00"/>
    <s v="No"/>
    <m/>
    <m/>
    <n v="11"/>
    <n v="5"/>
    <n v="48"/>
    <s v="No"/>
    <n v="0"/>
    <n v="8"/>
    <n v="7239.6"/>
    <s v="Medium Risk"/>
    <n v="36.198"/>
  </r>
  <r>
    <x v="2"/>
    <s v="Annual"/>
    <s v="Finance"/>
    <s v="51-200"/>
    <n v="16"/>
    <n v="549.74"/>
    <s v="Organic Search"/>
    <s v="Asia Pacific"/>
    <d v="2022-11-03T00:00:00"/>
    <s v="No"/>
    <m/>
    <m/>
    <n v="0"/>
    <n v="9"/>
    <n v="57"/>
    <s v="No"/>
    <n v="0"/>
    <n v="41"/>
    <n v="22539.34"/>
    <s v="Medium Risk"/>
    <n v="112.69670000000001"/>
  </r>
  <r>
    <x v="0"/>
    <s v="Annual"/>
    <s v="Retail"/>
    <s v="201-500"/>
    <n v="58"/>
    <n v="641.28"/>
    <s v="Referral"/>
    <s v="Europe"/>
    <d v="2023-10-02T00:00:00"/>
    <s v="Yes"/>
    <d v="2025-05-01T00:00:00"/>
    <s v="Missing Features"/>
    <n v="12"/>
    <n v="3"/>
    <n v="38"/>
    <s v="No"/>
    <n v="1"/>
    <n v="18"/>
    <n v="11543.039999999999"/>
    <s v="Medium Risk"/>
    <n v="57.715199999999996"/>
  </r>
  <r>
    <x v="1"/>
    <s v="Annual"/>
    <s v="Consulting"/>
    <s v="11-01"/>
    <n v="5"/>
    <n v="39.44"/>
    <s v="Partner"/>
    <s v="Europe"/>
    <d v="2022-12-22T00:00:00"/>
    <s v="Yes"/>
    <d v="2023-11-12T00:00:00"/>
    <s v="Switched Competitor"/>
    <n v="15"/>
    <n v="5"/>
    <n v="29"/>
    <s v="No"/>
    <n v="1"/>
    <n v="10"/>
    <n v="394.4"/>
    <s v="High Risk"/>
    <n v="1.972"/>
  </r>
  <r>
    <x v="0"/>
    <s v="Monthly"/>
    <s v="Finance"/>
    <s v="201-500"/>
    <n v="42"/>
    <n v="564.85"/>
    <s v="Direct Sales"/>
    <s v="North America"/>
    <d v="2022-01-27T00:00:00"/>
    <s v="Yes"/>
    <d v="2022-05-07T00:00:00"/>
    <s v="Budget Cuts"/>
    <n v="7"/>
    <n v="2"/>
    <n v="40"/>
    <s v="No"/>
    <n v="1"/>
    <n v="3"/>
    <n v="1694.5500000000002"/>
    <s v="Medium Risk"/>
    <n v="8.4727500000000013"/>
  </r>
  <r>
    <x v="2"/>
    <s v="Monthly"/>
    <s v="Consulting"/>
    <s v="11-01"/>
    <n v="20"/>
    <n v="766.15"/>
    <s v="Referral"/>
    <s v="North America"/>
    <d v="2023-06-10T00:00:00"/>
    <s v="Yes"/>
    <d v="2023-10-31T00:00:00"/>
    <s v="Company Closed"/>
    <n v="3"/>
    <n v="4"/>
    <n v="22"/>
    <s v="No"/>
    <n v="1"/>
    <n v="4"/>
    <n v="3064.6"/>
    <s v="High Risk"/>
    <n v="15.323"/>
  </r>
  <r>
    <x v="1"/>
    <s v="Monthly"/>
    <s v="Technology"/>
    <s v="500+"/>
    <n v="235"/>
    <n v="1046.9000000000001"/>
    <s v="Referral"/>
    <s v="Asia Pacific"/>
    <d v="2022-06-06T00:00:00"/>
    <s v="Yes"/>
    <d v="2022-06-19T00:00:00"/>
    <s v="Company Closed"/>
    <n v="11"/>
    <n v="1"/>
    <n v="23"/>
    <s v="No"/>
    <n v="1"/>
    <n v="0"/>
    <n v="0"/>
    <s v="High Risk"/>
    <n v="0"/>
  </r>
  <r>
    <x v="1"/>
    <s v="Annual"/>
    <s v="Legal"/>
    <s v="201-500"/>
    <n v="31"/>
    <n v="135.57"/>
    <s v="Organic Search"/>
    <s v="Latin America"/>
    <d v="2024-08-28T00:00:00"/>
    <s v="No"/>
    <m/>
    <m/>
    <n v="0"/>
    <n v="5"/>
    <n v="75"/>
    <s v="No"/>
    <n v="0"/>
    <n v="20"/>
    <n v="2711.3999999999996"/>
    <s v="Low Risk"/>
    <n v="13.556999999999999"/>
  </r>
  <r>
    <x v="0"/>
    <s v="Monthly"/>
    <s v="Technology"/>
    <s v="51-200"/>
    <n v="16"/>
    <n v="256.75"/>
    <s v="Organic Search"/>
    <s v="North America"/>
    <d v="2025-09-03T00:00:00"/>
    <s v="No"/>
    <m/>
    <m/>
    <n v="0"/>
    <n v="2"/>
    <n v="25"/>
    <s v="No"/>
    <n v="0"/>
    <n v="7"/>
    <n v="1797.25"/>
    <s v="High Risk"/>
    <n v="8.9862500000000001"/>
  </r>
  <r>
    <x v="0"/>
    <s v="Annual"/>
    <s v="Media"/>
    <s v="51-200"/>
    <n v="25"/>
    <n v="308.89"/>
    <s v="Paid Ads"/>
    <s v="Asia Pacific"/>
    <d v="2024-03-13T00:00:00"/>
    <s v="Yes"/>
    <d v="2025-06-14T00:00:00"/>
    <s v="Budget Cuts"/>
    <n v="0"/>
    <n v="2"/>
    <n v="28"/>
    <s v="No"/>
    <n v="1"/>
    <n v="15"/>
    <n v="4633.3499999999995"/>
    <s v="High Risk"/>
    <n v="23.166749999999997"/>
  </r>
  <r>
    <x v="0"/>
    <s v="Monthly"/>
    <s v="Manufacturing"/>
    <s v="11-01"/>
    <n v="17"/>
    <n v="268.60000000000002"/>
    <s v="Partner"/>
    <s v="Europe"/>
    <d v="2024-12-31T00:00:00"/>
    <s v="Yes"/>
    <d v="2025-03-14T00:00:00"/>
    <s v="No Longer Needed"/>
    <n v="0"/>
    <n v="5"/>
    <n v="25"/>
    <s v="No"/>
    <n v="1"/>
    <n v="2"/>
    <n v="537.20000000000005"/>
    <s v="High Risk"/>
    <n v="2.6860000000000004"/>
  </r>
  <r>
    <x v="0"/>
    <s v="Monthly"/>
    <s v="Education"/>
    <s v="11-01"/>
    <n v="28"/>
    <n v="398.95"/>
    <s v="Organic Search"/>
    <s v="North America"/>
    <d v="2022-11-01T00:00:00"/>
    <s v="No"/>
    <m/>
    <m/>
    <n v="9"/>
    <n v="8"/>
    <n v="44"/>
    <s v="No"/>
    <n v="0"/>
    <n v="42"/>
    <n v="16755.899999999998"/>
    <s v="Medium Risk"/>
    <n v="83.779499999999985"/>
  </r>
  <r>
    <x v="0"/>
    <s v="Annual"/>
    <s v="Finance"/>
    <s v="1-10"/>
    <n v="2"/>
    <n v="77.22"/>
    <s v="Partner"/>
    <s v="North America"/>
    <d v="2022-03-26T00:00:00"/>
    <s v="No"/>
    <m/>
    <m/>
    <n v="3"/>
    <n v="4"/>
    <n v="22"/>
    <s v="No"/>
    <n v="0"/>
    <n v="49"/>
    <n v="3783.7799999999997"/>
    <s v="High Risk"/>
    <n v="18.918899999999997"/>
  </r>
  <r>
    <x v="1"/>
    <s v="Annual"/>
    <s v="Media"/>
    <s v="11-01"/>
    <n v="32"/>
    <n v="139.27000000000001"/>
    <s v="Organic Search"/>
    <s v="North America"/>
    <d v="2025-07-18T00:00:00"/>
    <s v="No"/>
    <m/>
    <m/>
    <n v="6"/>
    <n v="2"/>
    <n v="81"/>
    <s v="No"/>
    <n v="0"/>
    <n v="9"/>
    <n v="1253.43"/>
    <s v="Low Risk"/>
    <n v="6.26715"/>
  </r>
  <r>
    <x v="2"/>
    <s v="Monthly"/>
    <s v="Manufacturing"/>
    <s v="51-200"/>
    <n v="72"/>
    <n v="2318.35"/>
    <s v="Paid Ads"/>
    <s v="North America"/>
    <d v="2024-07-07T00:00:00"/>
    <s v="No"/>
    <m/>
    <m/>
    <n v="4"/>
    <n v="7"/>
    <n v="50"/>
    <s v="Yes"/>
    <n v="0"/>
    <n v="21"/>
    <n v="48685.35"/>
    <s v="Medium Risk"/>
    <n v="243.42675"/>
  </r>
  <r>
    <x v="1"/>
    <s v="Annual"/>
    <s v="Healthcare"/>
    <s v="51-200"/>
    <n v="26"/>
    <n v="117.09"/>
    <s v="Organic Search"/>
    <s v="Asia Pacific"/>
    <d v="2024-07-13T00:00:00"/>
    <s v="No"/>
    <m/>
    <m/>
    <n v="4"/>
    <n v="4"/>
    <n v="48"/>
    <s v="No"/>
    <n v="0"/>
    <n v="21"/>
    <n v="2458.89"/>
    <s v="Medium Risk"/>
    <n v="12.294449999999999"/>
  </r>
  <r>
    <x v="0"/>
    <s v="Monthly"/>
    <s v="Legal"/>
    <s v="51-200"/>
    <n v="71"/>
    <n v="908.5"/>
    <s v="Referral"/>
    <s v="North America"/>
    <d v="2022-12-15T00:00:00"/>
    <s v="No"/>
    <m/>
    <m/>
    <n v="2"/>
    <n v="5"/>
    <n v="31"/>
    <s v="No"/>
    <n v="0"/>
    <n v="40"/>
    <n v="36340"/>
    <s v="Medium Risk"/>
    <n v="181.7"/>
  </r>
  <r>
    <x v="2"/>
    <s v="Annual"/>
    <s v="Legal"/>
    <s v="1-10"/>
    <n v="4"/>
    <n v="245.27"/>
    <s v="Paid Ads"/>
    <s v="Europe"/>
    <d v="2025-03-12T00:00:00"/>
    <s v="No"/>
    <m/>
    <m/>
    <n v="11"/>
    <n v="6"/>
    <n v="36"/>
    <s v="Yes"/>
    <n v="0"/>
    <n v="13"/>
    <n v="3188.51"/>
    <s v="Medium Risk"/>
    <n v="15.942550000000001"/>
  </r>
  <r>
    <x v="0"/>
    <s v="Monthly"/>
    <s v="Healthcare"/>
    <s v="11-01"/>
    <n v="20"/>
    <n v="304.14999999999998"/>
    <s v="Organic Search"/>
    <s v="North America"/>
    <d v="2023-06-14T00:00:00"/>
    <s v="No"/>
    <m/>
    <m/>
    <n v="1"/>
    <n v="5"/>
    <n v="40"/>
    <s v="Yes"/>
    <n v="0"/>
    <n v="34"/>
    <n v="10341.099999999999"/>
    <s v="Medium Risk"/>
    <n v="51.705499999999994"/>
  </r>
  <r>
    <x v="1"/>
    <s v="Monthly"/>
    <s v="Consulting"/>
    <s v="11-01"/>
    <n v="27"/>
    <n v="142.1"/>
    <s v="Paid Ads"/>
    <s v="North America"/>
    <d v="2024-12-10T00:00:00"/>
    <s v="Yes"/>
    <d v="2025-01-15T00:00:00"/>
    <s v="Company Closed"/>
    <n v="3"/>
    <n v="3"/>
    <n v="38"/>
    <s v="No"/>
    <n v="1"/>
    <n v="1"/>
    <n v="142.1"/>
    <s v="Medium Risk"/>
    <n v="0.71050000000000002"/>
  </r>
  <r>
    <x v="1"/>
    <s v="Monthly"/>
    <s v="Retail"/>
    <s v="201-500"/>
    <n v="46"/>
    <n v="224.75"/>
    <s v="Paid Ads"/>
    <s v="Asia Pacific"/>
    <d v="2022-12-30T00:00:00"/>
    <s v="Yes"/>
    <d v="2023-04-24T00:00:00"/>
    <s v="No Longer Needed"/>
    <n v="10"/>
    <n v="2"/>
    <n v="33"/>
    <s v="No"/>
    <n v="1"/>
    <n v="3"/>
    <n v="674.25"/>
    <s v="Medium Risk"/>
    <n v="3.3712499999999999"/>
  </r>
  <r>
    <x v="1"/>
    <s v="Monthly"/>
    <s v="Finance"/>
    <s v="51-200"/>
    <n v="31"/>
    <n v="159.5"/>
    <s v="Referral"/>
    <s v="North America"/>
    <d v="2022-08-24T00:00:00"/>
    <s v="Yes"/>
    <d v="2022-09-27T00:00:00"/>
    <s v="Missing Features"/>
    <n v="10"/>
    <n v="4"/>
    <n v="22"/>
    <s v="No"/>
    <n v="1"/>
    <n v="1"/>
    <n v="159.5"/>
    <s v="High Risk"/>
    <n v="0.79749999999999999"/>
  </r>
  <r>
    <x v="0"/>
    <s v="Monthly"/>
    <s v="Manufacturing"/>
    <s v="1-10"/>
    <n v="8"/>
    <n v="161.94999999999999"/>
    <s v="Organic Search"/>
    <s v="Latin America"/>
    <d v="2025-07-04T00:00:00"/>
    <s v="No"/>
    <m/>
    <m/>
    <n v="6"/>
    <n v="1"/>
    <n v="68"/>
    <s v="No"/>
    <n v="0"/>
    <n v="9"/>
    <n v="1457.55"/>
    <s v="Low Risk"/>
    <n v="7.28775"/>
  </r>
  <r>
    <x v="2"/>
    <s v="Annual"/>
    <s v="Legal"/>
    <s v="11-01"/>
    <n v="6"/>
    <n v="296.01"/>
    <s v="Partner"/>
    <s v="Latin America"/>
    <d v="2025-01-02T00:00:00"/>
    <s v="No"/>
    <m/>
    <m/>
    <n v="11"/>
    <n v="9"/>
    <n v="36"/>
    <s v="No"/>
    <n v="0"/>
    <n v="15"/>
    <n v="4440.1499999999996"/>
    <s v="Medium Risk"/>
    <n v="22.200749999999999"/>
  </r>
  <r>
    <x v="1"/>
    <s v="Annual"/>
    <s v="Consulting"/>
    <s v="1-10"/>
    <n v="8"/>
    <n v="50.53"/>
    <s v="Social Media"/>
    <s v="North America"/>
    <d v="2025-10-20T00:00:00"/>
    <s v="No"/>
    <m/>
    <m/>
    <n v="7"/>
    <n v="3"/>
    <n v="90"/>
    <s v="No"/>
    <n v="0"/>
    <n v="6"/>
    <n v="303.18"/>
    <s v="Low Risk"/>
    <n v="1.5159"/>
  </r>
  <r>
    <x v="3"/>
    <s v="Monthly"/>
    <s v="Consulting"/>
    <s v="1-10"/>
    <n v="1"/>
    <n v="499"/>
    <s v="Referral"/>
    <s v="North America"/>
    <d v="2025-03-11T00:00:00"/>
    <s v="No"/>
    <m/>
    <m/>
    <n v="7"/>
    <n v="8"/>
    <n v="22"/>
    <s v="No"/>
    <n v="0"/>
    <n v="13"/>
    <n v="6487"/>
    <s v="High Risk"/>
    <n v="32.435000000000002"/>
  </r>
  <r>
    <x v="2"/>
    <s v="Annual"/>
    <s v="Manufacturing"/>
    <s v="51-200"/>
    <n v="71"/>
    <n v="1945.22"/>
    <s v="Referral"/>
    <s v="Latin America"/>
    <d v="2022-02-15T00:00:00"/>
    <s v="Yes"/>
    <d v="2025-07-10T00:00:00"/>
    <s v="Missing Features"/>
    <n v="11"/>
    <n v="5"/>
    <n v="31"/>
    <s v="No"/>
    <n v="1"/>
    <n v="40"/>
    <n v="77808.800000000003"/>
    <s v="Medium Risk"/>
    <n v="389.04400000000004"/>
  </r>
  <r>
    <x v="0"/>
    <s v="Monthly"/>
    <s v="Retail"/>
    <s v="11-01"/>
    <n v="25"/>
    <n v="363.4"/>
    <s v="Paid Ads"/>
    <s v="Asia Pacific"/>
    <d v="2022-08-16T00:00:00"/>
    <s v="No"/>
    <m/>
    <m/>
    <n v="5"/>
    <n v="9"/>
    <n v="85"/>
    <s v="No"/>
    <n v="0"/>
    <n v="44"/>
    <n v="15989.599999999999"/>
    <s v="Low Risk"/>
    <n v="79.947999999999993"/>
  </r>
  <r>
    <x v="0"/>
    <s v="Annual"/>
    <s v="Technology"/>
    <s v="500+"/>
    <n v="106"/>
    <n v="1124.76"/>
    <s v="Partner"/>
    <s v="North America"/>
    <d v="2022-03-06T00:00:00"/>
    <s v="No"/>
    <m/>
    <m/>
    <n v="4"/>
    <n v="4"/>
    <n v="87"/>
    <s v="No"/>
    <n v="0"/>
    <n v="49"/>
    <n v="55113.24"/>
    <s v="Low Risk"/>
    <n v="275.56619999999998"/>
  </r>
  <r>
    <x v="1"/>
    <s v="Annual"/>
    <s v="Real Estate"/>
    <s v="11-01"/>
    <n v="9"/>
    <n v="54.23"/>
    <s v="Organic Search"/>
    <s v="North America"/>
    <d v="2023-05-07T00:00:00"/>
    <s v="Yes"/>
    <d v="2024-02-16T00:00:00"/>
    <s v="Poor Support"/>
    <n v="4"/>
    <n v="2"/>
    <n v="41"/>
    <s v="No"/>
    <n v="1"/>
    <n v="9"/>
    <n v="488.07"/>
    <s v="Medium Risk"/>
    <n v="2.44035"/>
  </r>
  <r>
    <x v="1"/>
    <s v="Monthly"/>
    <s v="Healthcare"/>
    <s v="11-01"/>
    <n v="21"/>
    <n v="116"/>
    <s v="Direct Sales"/>
    <s v="Europe"/>
    <d v="2022-08-01T00:00:00"/>
    <s v="Yes"/>
    <d v="2022-09-08T00:00:00"/>
    <s v="Price Too High"/>
    <n v="1"/>
    <n v="3"/>
    <n v="19"/>
    <s v="No"/>
    <n v="1"/>
    <n v="1"/>
    <n v="116"/>
    <s v="High Risk"/>
    <n v="0.57999999999999996"/>
  </r>
  <r>
    <x v="1"/>
    <s v="Monthly"/>
    <s v="Finance"/>
    <s v="11-01"/>
    <n v="5"/>
    <n v="46.4"/>
    <s v="Referral"/>
    <s v="North America"/>
    <d v="2025-01-06T00:00:00"/>
    <s v="Yes"/>
    <d v="2025-12-19T00:00:00"/>
    <s v="Budget Cuts"/>
    <n v="7"/>
    <n v="3"/>
    <n v="22"/>
    <s v="No"/>
    <n v="1"/>
    <n v="11"/>
    <n v="510.4"/>
    <s v="High Risk"/>
    <n v="2.552"/>
  </r>
  <r>
    <x v="1"/>
    <s v="Monthly"/>
    <s v="Retail"/>
    <s v="201-500"/>
    <n v="131"/>
    <n v="594.5"/>
    <s v="Partner"/>
    <s v="North America"/>
    <d v="2022-02-21T00:00:00"/>
    <s v="Yes"/>
    <d v="2022-07-22T00:00:00"/>
    <s v="Company Closed"/>
    <n v="9"/>
    <n v="3"/>
    <n v="16"/>
    <s v="No"/>
    <n v="1"/>
    <n v="5"/>
    <n v="2972.5"/>
    <s v="High Risk"/>
    <n v="14.862500000000001"/>
  </r>
  <r>
    <x v="2"/>
    <s v="Annual"/>
    <s v="Legal"/>
    <s v="51-200"/>
    <n v="18"/>
    <n v="600.48"/>
    <s v="Paid Ads"/>
    <s v="North America"/>
    <d v="2024-03-17T00:00:00"/>
    <s v="No"/>
    <m/>
    <m/>
    <n v="8"/>
    <n v="4"/>
    <n v="33"/>
    <s v="No"/>
    <n v="0"/>
    <n v="25"/>
    <n v="15012"/>
    <s v="Medium Risk"/>
    <n v="75.06"/>
  </r>
  <r>
    <x v="1"/>
    <s v="Annual"/>
    <s v="Education"/>
    <s v="51-200"/>
    <n v="28"/>
    <n v="124.48"/>
    <s v="Social Media"/>
    <s v="North America"/>
    <d v="2024-08-30T00:00:00"/>
    <s v="No"/>
    <m/>
    <m/>
    <n v="8"/>
    <n v="3"/>
    <n v="32"/>
    <s v="No"/>
    <n v="0"/>
    <n v="20"/>
    <n v="2489.6"/>
    <s v="Medium Risk"/>
    <n v="12.448"/>
  </r>
  <r>
    <x v="2"/>
    <s v="Annual"/>
    <s v="Finance"/>
    <s v="1-10"/>
    <n v="7"/>
    <n v="321.38"/>
    <s v="Organic Search"/>
    <s v="North America"/>
    <d v="2025-09-28T00:00:00"/>
    <s v="No"/>
    <m/>
    <m/>
    <n v="12"/>
    <n v="1"/>
    <n v="43"/>
    <s v="No"/>
    <n v="0"/>
    <n v="7"/>
    <n v="2249.66"/>
    <s v="Medium Risk"/>
    <n v="11.248299999999999"/>
  </r>
  <r>
    <x v="1"/>
    <s v="Monthly"/>
    <s v="Real Estate"/>
    <s v="1-10"/>
    <n v="6"/>
    <n v="50.75"/>
    <s v="Organic Search"/>
    <s v="North America"/>
    <d v="2023-04-02T00:00:00"/>
    <s v="Yes"/>
    <d v="2023-07-22T00:00:00"/>
    <s v="Missing Features"/>
    <n v="3"/>
    <n v="1"/>
    <n v="44"/>
    <s v="No"/>
    <n v="1"/>
    <n v="3"/>
    <n v="152.25"/>
    <s v="Medium Risk"/>
    <n v="0.76124999999999998"/>
  </r>
  <r>
    <x v="0"/>
    <s v="Annual"/>
    <s v="Finance"/>
    <s v="11-01"/>
    <n v="8"/>
    <n v="137.66"/>
    <s v="Direct Sales"/>
    <s v="North America"/>
    <d v="2023-12-17T00:00:00"/>
    <s v="Yes"/>
    <d v="2024-11-17T00:00:00"/>
    <s v="Poor Support"/>
    <n v="3"/>
    <n v="3"/>
    <n v="30"/>
    <s v="No"/>
    <n v="1"/>
    <n v="11"/>
    <n v="1514.26"/>
    <s v="Medium Risk"/>
    <n v="7.5712999999999999"/>
  </r>
  <r>
    <x v="3"/>
    <s v="Monthly"/>
    <s v="Legal"/>
    <s v="11-01"/>
    <n v="15"/>
    <n v="1546.9"/>
    <s v="Organic Search"/>
    <s v="North America"/>
    <d v="2022-06-27T00:00:00"/>
    <s v="No"/>
    <m/>
    <m/>
    <n v="1"/>
    <n v="5"/>
    <n v="61"/>
    <s v="No"/>
    <n v="0"/>
    <n v="46"/>
    <n v="71157.400000000009"/>
    <s v="Low Risk"/>
    <n v="355.78700000000003"/>
  </r>
  <r>
    <x v="1"/>
    <s v="Annual"/>
    <s v="Manufacturing"/>
    <s v="1-10"/>
    <n v="6"/>
    <n v="43.14"/>
    <s v="Paid Ads"/>
    <s v="North America"/>
    <d v="2023-10-05T00:00:00"/>
    <s v="Yes"/>
    <d v="2023-11-21T00:00:00"/>
    <s v="Price Too High"/>
    <n v="5"/>
    <n v="3"/>
    <n v="15"/>
    <s v="No"/>
    <n v="1"/>
    <n v="1"/>
    <n v="43.14"/>
    <s v="High Risk"/>
    <n v="0.2157"/>
  </r>
  <r>
    <x v="3"/>
    <s v="Monthly"/>
    <s v="Media"/>
    <s v="51-200"/>
    <n v="73"/>
    <n v="5888.2"/>
    <s v="Organic Search"/>
    <s v="Europe"/>
    <d v="2025-02-26T00:00:00"/>
    <s v="No"/>
    <m/>
    <m/>
    <n v="5"/>
    <n v="2"/>
    <n v="54"/>
    <s v="No"/>
    <n v="0"/>
    <n v="14"/>
    <n v="82434.8"/>
    <s v="Medium Risk"/>
    <n v="412.17400000000004"/>
  </r>
  <r>
    <x v="0"/>
    <s v="Monthly"/>
    <s v="Manufacturing"/>
    <s v="1-10"/>
    <n v="1"/>
    <n v="79"/>
    <s v="Direct Sales"/>
    <s v="North America"/>
    <d v="2025-07-28T00:00:00"/>
    <s v="No"/>
    <m/>
    <m/>
    <n v="11"/>
    <n v="6"/>
    <n v="74"/>
    <s v="No"/>
    <n v="0"/>
    <n v="9"/>
    <n v="711"/>
    <s v="Low Risk"/>
    <n v="3.5550000000000002"/>
  </r>
  <r>
    <x v="0"/>
    <s v="Monthly"/>
    <s v="Manufacturing"/>
    <s v="11-01"/>
    <n v="26"/>
    <n v="375.25"/>
    <s v="Organic Search"/>
    <s v="Latin America"/>
    <d v="2023-07-02T00:00:00"/>
    <s v="Yes"/>
    <d v="2024-02-24T00:00:00"/>
    <s v="Price Too High"/>
    <n v="13"/>
    <n v="1"/>
    <n v="29"/>
    <s v="No"/>
    <n v="1"/>
    <n v="7"/>
    <n v="2626.75"/>
    <s v="High Risk"/>
    <n v="13.133749999999999"/>
  </r>
  <r>
    <x v="1"/>
    <s v="Monthly"/>
    <s v="Retail"/>
    <s v="1-10"/>
    <n v="5"/>
    <n v="46.4"/>
    <s v="Social Media"/>
    <s v="North America"/>
    <d v="2024-05-26T00:00:00"/>
    <s v="Yes"/>
    <d v="2024-12-06T00:00:00"/>
    <s v="No Longer Needed"/>
    <n v="7"/>
    <n v="5"/>
    <n v="15"/>
    <s v="No"/>
    <n v="1"/>
    <n v="6"/>
    <n v="278.39999999999998"/>
    <s v="High Risk"/>
    <n v="1.3919999999999999"/>
  </r>
  <r>
    <x v="2"/>
    <s v="Annual"/>
    <s v="Retail"/>
    <s v="500+"/>
    <n v="199"/>
    <n v="5192.8999999999996"/>
    <s v="Partner"/>
    <s v="North America"/>
    <d v="2023-06-09T00:00:00"/>
    <s v="Yes"/>
    <d v="2024-08-22T00:00:00"/>
    <s v="Poor Support"/>
    <n v="4"/>
    <n v="5"/>
    <n v="36"/>
    <s v="No"/>
    <n v="1"/>
    <n v="14"/>
    <n v="72700.599999999991"/>
    <s v="Medium Risk"/>
    <n v="363.50299999999993"/>
  </r>
  <r>
    <x v="1"/>
    <s v="Monthly"/>
    <s v="Retail"/>
    <s v="1-10"/>
    <n v="6"/>
    <n v="50.75"/>
    <s v="Partner"/>
    <s v="North America"/>
    <d v="2025-05-09T00:00:00"/>
    <s v="Yes"/>
    <d v="2025-11-30T00:00:00"/>
    <s v="Budget Cuts"/>
    <n v="8"/>
    <n v="4"/>
    <n v="18"/>
    <s v="No"/>
    <n v="1"/>
    <n v="6"/>
    <n v="304.5"/>
    <s v="High Risk"/>
    <n v="1.5225"/>
  </r>
  <r>
    <x v="0"/>
    <s v="Annual"/>
    <s v="Legal"/>
    <s v="1-10"/>
    <n v="1"/>
    <n v="67.150000000000006"/>
    <s v="Partner"/>
    <s v="Europe"/>
    <d v="2024-08-11T00:00:00"/>
    <s v="Yes"/>
    <d v="2025-02-26T00:00:00"/>
    <s v="Poor Support"/>
    <n v="1"/>
    <n v="5"/>
    <n v="14"/>
    <s v="No"/>
    <n v="1"/>
    <n v="6"/>
    <n v="402.90000000000003"/>
    <s v="High Risk"/>
    <n v="2.0145"/>
  </r>
  <r>
    <x v="1"/>
    <s v="Monthly"/>
    <s v="Consulting"/>
    <s v="500+"/>
    <n v="230"/>
    <n v="1025.1500000000001"/>
    <s v="Referral"/>
    <s v="Asia Pacific"/>
    <d v="2022-10-14T00:00:00"/>
    <s v="Yes"/>
    <d v="2024-04-03T00:00:00"/>
    <s v="Price Too High"/>
    <n v="6"/>
    <n v="2"/>
    <n v="35"/>
    <s v="No"/>
    <n v="1"/>
    <n v="17"/>
    <n v="17427.550000000003"/>
    <s v="Medium Risk"/>
    <n v="87.137750000000011"/>
  </r>
  <r>
    <x v="2"/>
    <s v="Monthly"/>
    <s v="Healthcare"/>
    <s v="11-01"/>
    <n v="7"/>
    <n v="378.1"/>
    <s v="Organic Search"/>
    <s v="North America"/>
    <d v="2024-09-20T00:00:00"/>
    <s v="No"/>
    <m/>
    <m/>
    <n v="4"/>
    <n v="5"/>
    <n v="83"/>
    <s v="No"/>
    <n v="0"/>
    <n v="19"/>
    <n v="7183.9000000000005"/>
    <s v="Low Risk"/>
    <n v="35.919499999999999"/>
  </r>
  <r>
    <x v="0"/>
    <s v="Annual"/>
    <s v="Education"/>
    <s v="1-10"/>
    <n v="5"/>
    <n v="107.44"/>
    <s v="Direct Sales"/>
    <s v="Europe"/>
    <d v="2023-08-06T00:00:00"/>
    <s v="No"/>
    <m/>
    <m/>
    <n v="9"/>
    <n v="2"/>
    <n v="80"/>
    <s v="No"/>
    <n v="0"/>
    <n v="32"/>
    <n v="3438.08"/>
    <s v="Low Risk"/>
    <n v="17.1904"/>
  </r>
  <r>
    <x v="3"/>
    <s v="Monthly"/>
    <s v="Technology"/>
    <s v="11-01"/>
    <n v="20"/>
    <n v="1921.15"/>
    <s v="Organic Search"/>
    <s v="Latin America"/>
    <d v="2023-04-18T00:00:00"/>
    <s v="No"/>
    <m/>
    <m/>
    <n v="6"/>
    <n v="2"/>
    <n v="35"/>
    <s v="No"/>
    <n v="0"/>
    <n v="36"/>
    <n v="69161.400000000009"/>
    <s v="Medium Risk"/>
    <n v="345.80700000000002"/>
  </r>
  <r>
    <x v="1"/>
    <s v="Annual"/>
    <s v="Manufacturing"/>
    <s v="51-200"/>
    <n v="66"/>
    <n v="264.99"/>
    <s v="Referral"/>
    <s v="Asia Pacific"/>
    <d v="2025-10-25T00:00:00"/>
    <s v="No"/>
    <m/>
    <m/>
    <n v="8"/>
    <n v="8"/>
    <n v="30"/>
    <s v="No"/>
    <n v="0"/>
    <n v="6"/>
    <n v="1589.94"/>
    <s v="Medium Risk"/>
    <n v="7.9497"/>
  </r>
  <r>
    <x v="0"/>
    <s v="Annual"/>
    <s v="Legal"/>
    <s v="51-200"/>
    <n v="71"/>
    <n v="772.22"/>
    <s v="Organic Search"/>
    <s v="Asia Pacific"/>
    <d v="2025-01-07T00:00:00"/>
    <s v="No"/>
    <m/>
    <m/>
    <n v="9"/>
    <n v="5"/>
    <n v="93"/>
    <s v="No"/>
    <n v="0"/>
    <n v="15"/>
    <n v="11583.300000000001"/>
    <s v="Low Risk"/>
    <n v="57.916500000000006"/>
  </r>
  <r>
    <x v="2"/>
    <s v="Annual"/>
    <s v="Education"/>
    <s v="1-10"/>
    <n v="4"/>
    <n v="245.27"/>
    <s v="Partner"/>
    <s v="Europe"/>
    <d v="2024-12-11T00:00:00"/>
    <s v="Yes"/>
    <d v="2025-04-19T00:00:00"/>
    <s v="Price Too High"/>
    <n v="0"/>
    <n v="6"/>
    <n v="28"/>
    <s v="No"/>
    <n v="1"/>
    <n v="4"/>
    <n v="981.08"/>
    <s v="High Risk"/>
    <n v="4.9054000000000002"/>
  </r>
  <r>
    <x v="1"/>
    <s v="Monthly"/>
    <s v="Finance"/>
    <s v="500+"/>
    <n v="150"/>
    <n v="677.15"/>
    <s v="Paid Ads"/>
    <s v="Europe"/>
    <d v="2022-08-09T00:00:00"/>
    <s v="Yes"/>
    <d v="2023-11-26T00:00:00"/>
    <s v="Budget Cuts"/>
    <n v="0"/>
    <n v="3"/>
    <n v="44"/>
    <s v="No"/>
    <n v="1"/>
    <n v="15"/>
    <n v="10157.25"/>
    <s v="Medium Risk"/>
    <n v="50.786250000000003"/>
  </r>
  <r>
    <x v="1"/>
    <s v="Annual"/>
    <s v="Manufacturing"/>
    <s v="1-10"/>
    <n v="2"/>
    <n v="28.35"/>
    <s v="Paid Ads"/>
    <s v="Asia Pacific"/>
    <d v="2025-01-28T00:00:00"/>
    <s v="No"/>
    <m/>
    <m/>
    <n v="3"/>
    <n v="8"/>
    <n v="20"/>
    <s v="No"/>
    <n v="0"/>
    <n v="15"/>
    <n v="425.25"/>
    <s v="High Risk"/>
    <n v="2.1262500000000002"/>
  </r>
  <r>
    <x v="1"/>
    <s v="Annual"/>
    <s v="Healthcare"/>
    <s v="500+"/>
    <n v="220"/>
    <n v="834.4"/>
    <s v="Organic Search"/>
    <s v="Europe"/>
    <d v="2023-08-19T00:00:00"/>
    <s v="Yes"/>
    <d v="2025-06-11T00:00:00"/>
    <s v="Switched Competitor"/>
    <n v="4"/>
    <n v="3"/>
    <n v="12"/>
    <s v="No"/>
    <n v="1"/>
    <n v="21"/>
    <n v="17522.399999999998"/>
    <s v="High Risk"/>
    <n v="87.611999999999995"/>
  </r>
  <r>
    <x v="1"/>
    <s v="Annual"/>
    <s v="Real Estate"/>
    <s v="201-500"/>
    <n v="34"/>
    <n v="146.66999999999999"/>
    <s v="Organic Search"/>
    <s v="Asia Pacific"/>
    <d v="2024-07-15T00:00:00"/>
    <s v="No"/>
    <m/>
    <m/>
    <n v="12"/>
    <n v="5"/>
    <n v="60"/>
    <s v="No"/>
    <n v="0"/>
    <n v="21"/>
    <n v="3080.0699999999997"/>
    <s v="Low Risk"/>
    <n v="15.400349999999998"/>
  </r>
  <r>
    <x v="1"/>
    <s v="Monthly"/>
    <s v="Healthcare"/>
    <s v="1-10"/>
    <n v="1"/>
    <n v="29"/>
    <s v="Social Media"/>
    <s v="Europe"/>
    <d v="2023-09-18T00:00:00"/>
    <s v="Yes"/>
    <d v="2025-01-25T00:00:00"/>
    <s v="No Longer Needed"/>
    <n v="7"/>
    <n v="5"/>
    <n v="20"/>
    <s v="No"/>
    <n v="1"/>
    <n v="16"/>
    <n v="464"/>
    <s v="High Risk"/>
    <n v="2.3199999999999998"/>
  </r>
  <r>
    <x v="1"/>
    <s v="Annual"/>
    <s v="Legal"/>
    <s v="51-200"/>
    <n v="40"/>
    <n v="168.85"/>
    <s v="Organic Search"/>
    <s v="North America"/>
    <d v="2024-12-24T00:00:00"/>
    <s v="No"/>
    <m/>
    <m/>
    <n v="10"/>
    <n v="6"/>
    <n v="35"/>
    <s v="No"/>
    <n v="0"/>
    <n v="16"/>
    <n v="2701.6"/>
    <s v="Medium Risk"/>
    <n v="13.507999999999999"/>
  </r>
  <r>
    <x v="2"/>
    <s v="Monthly"/>
    <s v="Legal"/>
    <s v="11-01"/>
    <n v="29"/>
    <n v="1034.8"/>
    <s v="Partner"/>
    <s v="Europe"/>
    <d v="2023-04-05T00:00:00"/>
    <s v="Yes"/>
    <d v="2023-04-29T00:00:00"/>
    <s v="No Longer Needed"/>
    <n v="12"/>
    <n v="6"/>
    <n v="45"/>
    <s v="No"/>
    <n v="1"/>
    <n v="0"/>
    <n v="0"/>
    <s v="Medium Risk"/>
    <n v="0"/>
  </r>
  <r>
    <x v="2"/>
    <s v="Annual"/>
    <s v="Consulting"/>
    <s v="11-01"/>
    <n v="5"/>
    <n v="270.64"/>
    <s v="Paid Ads"/>
    <s v="North America"/>
    <d v="2023-12-06T00:00:00"/>
    <s v="No"/>
    <m/>
    <m/>
    <n v="0"/>
    <n v="1"/>
    <n v="55"/>
    <s v="Yes"/>
    <n v="0"/>
    <n v="28"/>
    <n v="7577.92"/>
    <s v="Medium Risk"/>
    <n v="37.889600000000002"/>
  </r>
  <r>
    <x v="2"/>
    <s v="Monthly"/>
    <s v="Media"/>
    <s v="11-01"/>
    <n v="32"/>
    <n v="1124.3499999999999"/>
    <s v="Social Media"/>
    <s v="Asia Pacific"/>
    <d v="2024-10-17T00:00:00"/>
    <s v="No"/>
    <m/>
    <m/>
    <n v="1"/>
    <n v="1"/>
    <n v="91"/>
    <s v="No"/>
    <n v="0"/>
    <n v="18"/>
    <n v="20238.3"/>
    <s v="Low Risk"/>
    <n v="101.19149999999999"/>
  </r>
  <r>
    <x v="1"/>
    <s v="Monthly"/>
    <s v="Finance"/>
    <s v="1-10"/>
    <n v="7"/>
    <n v="55.1"/>
    <s v="Organic Search"/>
    <s v="Europe"/>
    <d v="2022-09-18T00:00:00"/>
    <s v="Yes"/>
    <d v="2023-07-31T00:00:00"/>
    <s v="Budget Cuts"/>
    <n v="3"/>
    <n v="2"/>
    <n v="24"/>
    <s v="No"/>
    <n v="1"/>
    <n v="10"/>
    <n v="551"/>
    <s v="High Risk"/>
    <n v="2.7549999999999999"/>
  </r>
  <r>
    <x v="2"/>
    <s v="Monthly"/>
    <s v="Healthcare"/>
    <s v="1-10"/>
    <n v="5"/>
    <n v="318.39999999999998"/>
    <s v="Referral"/>
    <s v="North America"/>
    <d v="2022-07-10T00:00:00"/>
    <s v="Yes"/>
    <d v="2024-05-08T00:00:00"/>
    <s v="No Longer Needed"/>
    <n v="14"/>
    <n v="3"/>
    <n v="38"/>
    <s v="No"/>
    <n v="1"/>
    <n v="21"/>
    <n v="6686.4"/>
    <s v="Medium Risk"/>
    <n v="33.431999999999995"/>
  </r>
  <r>
    <x v="0"/>
    <s v="Annual"/>
    <s v="Media"/>
    <s v="1-10"/>
    <n v="6"/>
    <n v="117.51"/>
    <s v="Social Media"/>
    <s v="Asia Pacific"/>
    <d v="2024-09-14T00:00:00"/>
    <s v="No"/>
    <m/>
    <m/>
    <n v="12"/>
    <n v="9"/>
    <n v="38"/>
    <s v="No"/>
    <n v="0"/>
    <n v="19"/>
    <n v="2232.69"/>
    <s v="Medium Risk"/>
    <n v="11.163450000000001"/>
  </r>
  <r>
    <x v="3"/>
    <s v="Annual"/>
    <s v="Education"/>
    <s v="201-500"/>
    <n v="65"/>
    <n v="4495.99"/>
    <s v="Paid Ads"/>
    <s v="North America"/>
    <d v="2024-11-30T00:00:00"/>
    <s v="No"/>
    <m/>
    <m/>
    <n v="10"/>
    <n v="2"/>
    <n v="91"/>
    <s v="No"/>
    <n v="0"/>
    <n v="17"/>
    <n v="76431.83"/>
    <s v="Low Risk"/>
    <n v="382.15915000000001"/>
  </r>
  <r>
    <x v="2"/>
    <s v="Annual"/>
    <s v="Consulting"/>
    <s v="51-200"/>
    <n v="50"/>
    <n v="1412.4"/>
    <s v="Direct Sales"/>
    <s v="North America"/>
    <d v="2022-10-11T00:00:00"/>
    <s v="No"/>
    <m/>
    <m/>
    <n v="12"/>
    <n v="8"/>
    <n v="26"/>
    <s v="No"/>
    <n v="0"/>
    <n v="42"/>
    <n v="59320.800000000003"/>
    <s v="High Risk"/>
    <n v="296.60400000000004"/>
  </r>
  <r>
    <x v="1"/>
    <s v="Monthly"/>
    <s v="Media"/>
    <s v="500+"/>
    <n v="205"/>
    <n v="916.4"/>
    <s v="Social Media"/>
    <s v="North America"/>
    <d v="2023-08-06T00:00:00"/>
    <s v="Yes"/>
    <d v="2023-09-11T00:00:00"/>
    <s v="Budget Cuts"/>
    <n v="7"/>
    <n v="3"/>
    <n v="19"/>
    <s v="No"/>
    <n v="1"/>
    <n v="1"/>
    <n v="916.4"/>
    <s v="High Risk"/>
    <n v="4.5819999999999999"/>
  </r>
  <r>
    <x v="0"/>
    <s v="Monthly"/>
    <s v="Technology"/>
    <s v="500+"/>
    <n v="239"/>
    <n v="2899.3"/>
    <s v="Partner"/>
    <s v="Asia Pacific"/>
    <d v="2024-12-06T00:00:00"/>
    <s v="Yes"/>
    <d v="2025-11-09T00:00:00"/>
    <s v="Poor Support"/>
    <n v="4"/>
    <n v="6"/>
    <n v="14"/>
    <s v="No"/>
    <n v="1"/>
    <n v="11"/>
    <n v="31892.300000000003"/>
    <s v="High Risk"/>
    <n v="159.4615"/>
  </r>
  <r>
    <x v="0"/>
    <s v="Annual"/>
    <s v="Manufacturing"/>
    <s v="11-01"/>
    <n v="31"/>
    <n v="369.33"/>
    <s v="Direct Sales"/>
    <s v="Asia Pacific"/>
    <d v="2024-09-11T00:00:00"/>
    <s v="No"/>
    <m/>
    <m/>
    <n v="4"/>
    <n v="6"/>
    <n v="81"/>
    <s v="No"/>
    <n v="0"/>
    <n v="19"/>
    <n v="7017.2699999999995"/>
    <s v="Low Risk"/>
    <n v="35.086349999999996"/>
  </r>
  <r>
    <x v="1"/>
    <s v="Monthly"/>
    <s v="Consulting"/>
    <s v="51-200"/>
    <n v="67"/>
    <n v="316.10000000000002"/>
    <s v="Referral"/>
    <s v="Europe"/>
    <d v="2024-06-25T00:00:00"/>
    <s v="No"/>
    <m/>
    <m/>
    <n v="3"/>
    <n v="10"/>
    <n v="26"/>
    <s v="No"/>
    <n v="0"/>
    <n v="22"/>
    <n v="6954.2000000000007"/>
    <s v="High Risk"/>
    <n v="34.771000000000001"/>
  </r>
  <r>
    <x v="0"/>
    <s v="Annual"/>
    <s v="Real Estate"/>
    <s v="51-200"/>
    <n v="29"/>
    <n v="349.18"/>
    <s v="Referral"/>
    <s v="North America"/>
    <d v="2022-10-12T00:00:00"/>
    <s v="Yes"/>
    <d v="2025-03-25T00:00:00"/>
    <s v="Budget Cuts"/>
    <n v="2"/>
    <n v="5"/>
    <n v="42"/>
    <s v="No"/>
    <n v="1"/>
    <n v="29"/>
    <n v="10126.219999999999"/>
    <s v="Medium Risk"/>
    <n v="50.631099999999996"/>
  </r>
  <r>
    <x v="0"/>
    <s v="Monthly"/>
    <s v="Education"/>
    <s v="1-10"/>
    <n v="4"/>
    <n v="114.55"/>
    <s v="Paid Ads"/>
    <s v="North America"/>
    <d v="2024-02-08T00:00:00"/>
    <s v="Yes"/>
    <d v="2024-04-23T00:00:00"/>
    <s v="Price Too High"/>
    <n v="9"/>
    <n v="4"/>
    <n v="44"/>
    <s v="No"/>
    <n v="1"/>
    <n v="2"/>
    <n v="229.1"/>
    <s v="Medium Risk"/>
    <n v="1.1455"/>
  </r>
  <r>
    <x v="0"/>
    <s v="Annual"/>
    <s v="Real Estate"/>
    <s v="51-200"/>
    <n v="76"/>
    <n v="822.59"/>
    <s v="Partner"/>
    <s v="Europe"/>
    <d v="2024-05-02T00:00:00"/>
    <s v="No"/>
    <m/>
    <m/>
    <n v="9"/>
    <n v="6"/>
    <n v="37"/>
    <s v="No"/>
    <n v="0"/>
    <n v="23"/>
    <n v="18919.57"/>
    <s v="Medium Risk"/>
    <n v="94.597849999999994"/>
  </r>
  <r>
    <x v="1"/>
    <s v="Annual"/>
    <s v="Education"/>
    <s v="201-500"/>
    <n v="83"/>
    <n v="327.84"/>
    <s v="Partner"/>
    <s v="North America"/>
    <d v="2023-10-01T00:00:00"/>
    <s v="Yes"/>
    <d v="2025-01-06T00:00:00"/>
    <s v="Budget Cuts"/>
    <n v="8"/>
    <n v="4"/>
    <n v="26"/>
    <s v="No"/>
    <n v="1"/>
    <n v="15"/>
    <n v="4917.5999999999995"/>
    <s v="High Risk"/>
    <n v="24.587999999999997"/>
  </r>
  <r>
    <x v="1"/>
    <s v="Monthly"/>
    <s v="Manufacturing"/>
    <s v="1-10"/>
    <n v="7"/>
    <n v="55.1"/>
    <s v="Partner"/>
    <s v="Europe"/>
    <d v="2024-11-20T00:00:00"/>
    <s v="No"/>
    <m/>
    <m/>
    <n v="8"/>
    <n v="2"/>
    <n v="63"/>
    <s v="No"/>
    <n v="0"/>
    <n v="17"/>
    <n v="936.7"/>
    <s v="Low Risk"/>
    <n v="4.6835000000000004"/>
  </r>
  <r>
    <x v="0"/>
    <s v="Annual"/>
    <s v="Media"/>
    <s v="201-500"/>
    <n v="96"/>
    <n v="1024.04"/>
    <s v="Referral"/>
    <s v="North America"/>
    <d v="2025-11-17T00:00:00"/>
    <s v="No"/>
    <m/>
    <m/>
    <n v="3"/>
    <n v="8"/>
    <n v="48"/>
    <s v="No"/>
    <n v="0"/>
    <n v="5"/>
    <n v="5120.2"/>
    <s v="Medium Risk"/>
    <n v="25.600999999999999"/>
  </r>
  <r>
    <x v="2"/>
    <s v="Monthly"/>
    <s v="Finance"/>
    <s v="1-10"/>
    <n v="6"/>
    <n v="348.25"/>
    <s v="Partner"/>
    <s v="Asia Pacific"/>
    <d v="2025-06-25T00:00:00"/>
    <s v="Yes"/>
    <d v="2025-11-28T00:00:00"/>
    <s v="Budget Cuts"/>
    <n v="3"/>
    <n v="2"/>
    <n v="17"/>
    <s v="No"/>
    <n v="1"/>
    <n v="5"/>
    <n v="1741.25"/>
    <s v="High Risk"/>
    <n v="8.7062500000000007"/>
  </r>
  <r>
    <x v="0"/>
    <s v="Monthly"/>
    <s v="Education"/>
    <s v="1-10"/>
    <n v="4"/>
    <n v="114.55"/>
    <s v="Paid Ads"/>
    <s v="Asia Pacific"/>
    <d v="2024-09-10T00:00:00"/>
    <s v="Yes"/>
    <d v="2024-11-30T00:00:00"/>
    <s v="Price Too High"/>
    <n v="9"/>
    <n v="3"/>
    <n v="24"/>
    <s v="No"/>
    <n v="1"/>
    <n v="2"/>
    <n v="229.1"/>
    <s v="High Risk"/>
    <n v="1.1455"/>
  </r>
  <r>
    <x v="2"/>
    <s v="Monthly"/>
    <s v="Healthcare"/>
    <s v="11-01"/>
    <n v="28"/>
    <n v="1004.95"/>
    <s v="Referral"/>
    <s v="Asia Pacific"/>
    <d v="2022-08-11T00:00:00"/>
    <s v="Yes"/>
    <d v="2024-12-24T00:00:00"/>
    <s v="Switched Competitor"/>
    <n v="13"/>
    <n v="4"/>
    <n v="15"/>
    <s v="No"/>
    <n v="1"/>
    <n v="28"/>
    <n v="28138.600000000002"/>
    <s v="High Risk"/>
    <n v="140.69300000000001"/>
  </r>
  <r>
    <x v="1"/>
    <s v="Monthly"/>
    <s v="Consulting"/>
    <s v="201-500"/>
    <n v="141"/>
    <n v="638"/>
    <s v="Direct Sales"/>
    <s v="North America"/>
    <d v="2025-09-11T00:00:00"/>
    <s v="No"/>
    <m/>
    <m/>
    <n v="11"/>
    <n v="4"/>
    <n v="88"/>
    <s v="No"/>
    <n v="0"/>
    <n v="7"/>
    <n v="4466"/>
    <s v="Low Risk"/>
    <n v="22.33"/>
  </r>
  <r>
    <x v="0"/>
    <s v="Monthly"/>
    <s v="Consulting"/>
    <s v="51-200"/>
    <n v="70"/>
    <n v="896.65"/>
    <s v="Social Media"/>
    <s v="North America"/>
    <d v="2023-07-10T00:00:00"/>
    <s v="No"/>
    <m/>
    <m/>
    <n v="7"/>
    <n v="10"/>
    <n v="63"/>
    <s v="No"/>
    <n v="0"/>
    <n v="33"/>
    <n v="29589.45"/>
    <s v="Low Risk"/>
    <n v="147.94725"/>
  </r>
  <r>
    <x v="1"/>
    <s v="Monthly"/>
    <s v="Media"/>
    <s v="11-01"/>
    <n v="30"/>
    <n v="155.15"/>
    <s v="Partner"/>
    <s v="North America"/>
    <d v="2022-12-21T00:00:00"/>
    <s v="Yes"/>
    <d v="2023-01-25T00:00:00"/>
    <s v="No Longer Needed"/>
    <n v="15"/>
    <n v="2"/>
    <n v="23"/>
    <s v="No"/>
    <n v="1"/>
    <n v="1"/>
    <n v="155.15"/>
    <s v="High Risk"/>
    <n v="0.77575000000000005"/>
  </r>
  <r>
    <x v="2"/>
    <s v="Monthly"/>
    <s v="Real Estate"/>
    <s v="51-200"/>
    <n v="74"/>
    <n v="2378.0500000000002"/>
    <s v="Social Media"/>
    <s v="North America"/>
    <d v="2022-03-16T00:00:00"/>
    <s v="No"/>
    <m/>
    <m/>
    <n v="8"/>
    <n v="10"/>
    <n v="46"/>
    <s v="Yes"/>
    <n v="0"/>
    <n v="49"/>
    <n v="116524.45000000001"/>
    <s v="Medium Risk"/>
    <n v="582.62225000000001"/>
  </r>
  <r>
    <x v="3"/>
    <s v="Monthly"/>
    <s v="Retail"/>
    <s v="11-01"/>
    <n v="33"/>
    <n v="2894.2"/>
    <s v="Social Media"/>
    <s v="North America"/>
    <d v="2024-09-18T00:00:00"/>
    <s v="No"/>
    <m/>
    <m/>
    <n v="0"/>
    <n v="1"/>
    <n v="43"/>
    <s v="Yes"/>
    <n v="0"/>
    <n v="19"/>
    <n v="54989.799999999996"/>
    <s v="Medium Risk"/>
    <n v="274.94899999999996"/>
  </r>
  <r>
    <x v="1"/>
    <s v="Annual"/>
    <s v="Finance"/>
    <s v="500+"/>
    <n v="225"/>
    <n v="852.89"/>
    <s v="Referral"/>
    <s v="Europe"/>
    <d v="2023-02-27T00:00:00"/>
    <s v="No"/>
    <m/>
    <m/>
    <n v="6"/>
    <n v="9"/>
    <n v="50"/>
    <s v="Yes"/>
    <n v="0"/>
    <n v="38"/>
    <n v="32409.82"/>
    <s v="Medium Risk"/>
    <n v="162.04910000000001"/>
  </r>
  <r>
    <x v="1"/>
    <s v="Annual"/>
    <s v="Education"/>
    <s v="1-10"/>
    <n v="3"/>
    <n v="32.049999999999997"/>
    <s v="Paid Ads"/>
    <s v="North America"/>
    <d v="2023-10-21T00:00:00"/>
    <s v="Yes"/>
    <d v="2024-07-19T00:00:00"/>
    <s v="Budget Cuts"/>
    <n v="4"/>
    <n v="5"/>
    <n v="33"/>
    <s v="No"/>
    <n v="1"/>
    <n v="8"/>
    <n v="256.39999999999998"/>
    <s v="Medium Risk"/>
    <n v="1.2819999999999998"/>
  </r>
  <r>
    <x v="0"/>
    <s v="Annual"/>
    <s v="Media"/>
    <s v="11-01"/>
    <n v="20"/>
    <n v="258.52999999999997"/>
    <s v="Paid Ads"/>
    <s v="Europe"/>
    <d v="2025-03-06T00:00:00"/>
    <s v="No"/>
    <m/>
    <m/>
    <n v="6"/>
    <n v="7"/>
    <n v="95"/>
    <s v="No"/>
    <n v="0"/>
    <n v="13"/>
    <n v="3360.8899999999994"/>
    <s v="Low Risk"/>
    <n v="16.804449999999996"/>
  </r>
  <r>
    <x v="3"/>
    <s v="Monthly"/>
    <s v="Consulting"/>
    <s v="1-10"/>
    <n v="1"/>
    <n v="499"/>
    <s v="Organic Search"/>
    <s v="Asia Pacific"/>
    <d v="2022-03-25T00:00:00"/>
    <s v="No"/>
    <m/>
    <m/>
    <n v="8"/>
    <n v="7"/>
    <n v="32"/>
    <s v="No"/>
    <n v="0"/>
    <n v="49"/>
    <n v="24451"/>
    <s v="Medium Risk"/>
    <n v="122.255"/>
  </r>
  <r>
    <x v="1"/>
    <s v="Monthly"/>
    <s v="Healthcare"/>
    <s v="51-200"/>
    <n v="21"/>
    <n v="116"/>
    <s v="Referral"/>
    <s v="Europe"/>
    <d v="2023-04-19T00:00:00"/>
    <s v="Yes"/>
    <d v="2025-01-15T00:00:00"/>
    <s v="Missing Features"/>
    <n v="0"/>
    <n v="1"/>
    <n v="15"/>
    <s v="No"/>
    <n v="1"/>
    <n v="20"/>
    <n v="2320"/>
    <s v="High Risk"/>
    <n v="11.6"/>
  </r>
  <r>
    <x v="0"/>
    <s v="Annual"/>
    <s v="Legal"/>
    <s v="1-10"/>
    <n v="4"/>
    <n v="97.37"/>
    <s v="Paid Ads"/>
    <s v="North America"/>
    <d v="2025-03-03T00:00:00"/>
    <s v="No"/>
    <m/>
    <m/>
    <n v="2"/>
    <n v="4"/>
    <n v="36"/>
    <s v="No"/>
    <n v="0"/>
    <n v="13"/>
    <n v="1265.81"/>
    <s v="Medium Risk"/>
    <n v="6.3290499999999996"/>
  </r>
  <r>
    <x v="0"/>
    <s v="Annual"/>
    <s v="Education"/>
    <s v="201-500"/>
    <n v="35"/>
    <n v="409.62"/>
    <s v="Organic Search"/>
    <s v="North America"/>
    <d v="2022-10-24T00:00:00"/>
    <s v="Yes"/>
    <d v="2024-11-02T00:00:00"/>
    <s v="Missing Features"/>
    <n v="15"/>
    <n v="1"/>
    <n v="21"/>
    <s v="No"/>
    <n v="1"/>
    <n v="24"/>
    <n v="9830.880000000001"/>
    <s v="High Risk"/>
    <n v="49.154400000000003"/>
  </r>
  <r>
    <x v="1"/>
    <s v="Monthly"/>
    <s v="Media"/>
    <s v="11-01"/>
    <n v="13"/>
    <n v="81.2"/>
    <s v="Partner"/>
    <s v="Europe"/>
    <d v="2023-06-28T00:00:00"/>
    <s v="Yes"/>
    <d v="2024-10-13T00:00:00"/>
    <s v="Budget Cuts"/>
    <n v="15"/>
    <n v="1"/>
    <n v="44"/>
    <s v="No"/>
    <n v="1"/>
    <n v="15"/>
    <n v="1218"/>
    <s v="Medium Risk"/>
    <n v="6.09"/>
  </r>
  <r>
    <x v="1"/>
    <s v="Monthly"/>
    <s v="Legal"/>
    <s v="11-01"/>
    <n v="30"/>
    <n v="155.15"/>
    <s v="Partner"/>
    <s v="Latin America"/>
    <d v="2023-10-06T00:00:00"/>
    <s v="Yes"/>
    <d v="2023-11-04T00:00:00"/>
    <s v="Price Too High"/>
    <n v="3"/>
    <n v="1"/>
    <n v="25"/>
    <s v="No"/>
    <n v="1"/>
    <n v="0"/>
    <n v="0"/>
    <s v="High Risk"/>
    <n v="0"/>
  </r>
  <r>
    <x v="2"/>
    <s v="Monthly"/>
    <s v="Consulting"/>
    <s v="1-10"/>
    <n v="8"/>
    <n v="407.95"/>
    <s v="Direct Sales"/>
    <s v="Latin America"/>
    <d v="2023-07-30T00:00:00"/>
    <s v="Yes"/>
    <d v="2025-04-06T00:00:00"/>
    <s v="Budget Cuts"/>
    <n v="1"/>
    <n v="5"/>
    <n v="12"/>
    <s v="No"/>
    <n v="1"/>
    <n v="20"/>
    <n v="8159"/>
    <s v="High Risk"/>
    <n v="40.795000000000002"/>
  </r>
  <r>
    <x v="1"/>
    <s v="Monthly"/>
    <s v="Education"/>
    <s v="51-200"/>
    <n v="64"/>
    <n v="303.05"/>
    <s v="Partner"/>
    <s v="North America"/>
    <d v="2024-05-19T00:00:00"/>
    <s v="Yes"/>
    <d v="2024-07-20T00:00:00"/>
    <s v="Poor Support"/>
    <n v="11"/>
    <n v="1"/>
    <n v="49"/>
    <s v="No"/>
    <n v="1"/>
    <n v="2"/>
    <n v="606.1"/>
    <s v="Medium Risk"/>
    <n v="3.0305"/>
  </r>
  <r>
    <x v="2"/>
    <s v="Annual"/>
    <s v="Healthcare"/>
    <s v="51-200"/>
    <n v="67"/>
    <n v="1843.73"/>
    <s v="Organic Search"/>
    <s v="Europe"/>
    <d v="2023-12-17T00:00:00"/>
    <s v="No"/>
    <m/>
    <m/>
    <n v="12"/>
    <n v="1"/>
    <n v="85"/>
    <s v="Yes"/>
    <n v="0"/>
    <n v="28"/>
    <n v="51624.44"/>
    <s v="Low Risk"/>
    <n v="258.12220000000002"/>
  </r>
  <r>
    <x v="1"/>
    <s v="Monthly"/>
    <s v="Healthcare"/>
    <s v="201-500"/>
    <n v="72"/>
    <n v="337.85"/>
    <s v="Organic Search"/>
    <s v="Europe"/>
    <d v="2024-03-23T00:00:00"/>
    <s v="Yes"/>
    <d v="2024-07-02T00:00:00"/>
    <s v="Switched Competitor"/>
    <n v="5"/>
    <n v="6"/>
    <n v="33"/>
    <s v="No"/>
    <n v="1"/>
    <n v="3"/>
    <n v="1013.5500000000001"/>
    <s v="Medium Risk"/>
    <n v="5.0677500000000002"/>
  </r>
  <r>
    <x v="2"/>
    <s v="Monthly"/>
    <s v="Real Estate"/>
    <s v="1-10"/>
    <n v="1"/>
    <n v="199"/>
    <s v="Partner"/>
    <s v="North America"/>
    <d v="2023-04-02T00:00:00"/>
    <s v="Yes"/>
    <d v="2023-12-15T00:00:00"/>
    <s v="No Longer Needed"/>
    <n v="12"/>
    <n v="2"/>
    <n v="16"/>
    <s v="No"/>
    <n v="1"/>
    <n v="8"/>
    <n v="1592"/>
    <s v="High Risk"/>
    <n v="7.96"/>
  </r>
  <r>
    <x v="1"/>
    <s v="Monthly"/>
    <s v="Consulting"/>
    <s v="11-01"/>
    <n v="5"/>
    <n v="46.4"/>
    <s v="Referral"/>
    <s v="North America"/>
    <d v="2025-01-19T00:00:00"/>
    <s v="Yes"/>
    <d v="2025-07-03T00:00:00"/>
    <s v="Missing Features"/>
    <n v="8"/>
    <n v="4"/>
    <n v="21"/>
    <s v="No"/>
    <n v="1"/>
    <n v="5"/>
    <n v="232"/>
    <s v="High Risk"/>
    <n v="1.1599999999999999"/>
  </r>
  <r>
    <x v="1"/>
    <s v="Annual"/>
    <s v="Healthcare"/>
    <s v="51-200"/>
    <n v="46"/>
    <n v="191.04"/>
    <s v="Social Media"/>
    <s v="Europe"/>
    <d v="2022-05-05T00:00:00"/>
    <s v="Yes"/>
    <d v="2022-07-30T00:00:00"/>
    <s v="Company Closed"/>
    <n v="2"/>
    <n v="1"/>
    <n v="13"/>
    <s v="No"/>
    <n v="1"/>
    <n v="2"/>
    <n v="382.08"/>
    <s v="High Risk"/>
    <n v="1.9103999999999999"/>
  </r>
  <r>
    <x v="3"/>
    <s v="Monthly"/>
    <s v="Healthcare"/>
    <s v="51-200"/>
    <n v="72"/>
    <n v="5813.35"/>
    <s v="Social Media"/>
    <s v="North America"/>
    <d v="2022-09-22T00:00:00"/>
    <s v="Yes"/>
    <d v="2025-05-26T00:00:00"/>
    <s v="Price Too High"/>
    <n v="13"/>
    <n v="1"/>
    <n v="17"/>
    <s v="No"/>
    <n v="1"/>
    <n v="32"/>
    <n v="186027.2"/>
    <s v="High Risk"/>
    <n v="930.13600000000008"/>
  </r>
  <r>
    <x v="3"/>
    <s v="Annual"/>
    <s v="Education"/>
    <s v="201-500"/>
    <n v="48"/>
    <n v="3414.41"/>
    <s v="Paid Ads"/>
    <s v="North America"/>
    <d v="2025-06-30T00:00:00"/>
    <s v="No"/>
    <m/>
    <m/>
    <n v="12"/>
    <n v="2"/>
    <n v="23"/>
    <s v="No"/>
    <n v="0"/>
    <n v="10"/>
    <n v="34144.1"/>
    <s v="High Risk"/>
    <n v="170.72049999999999"/>
  </r>
  <r>
    <x v="2"/>
    <s v="Annual"/>
    <s v="Retail"/>
    <s v="1-10"/>
    <n v="1"/>
    <n v="169.15"/>
    <s v="Partner"/>
    <s v="North America"/>
    <d v="2024-01-08T00:00:00"/>
    <s v="No"/>
    <m/>
    <m/>
    <n v="1"/>
    <n v="6"/>
    <n v="60"/>
    <s v="No"/>
    <n v="0"/>
    <n v="27"/>
    <n v="4567.05"/>
    <s v="Low Risk"/>
    <n v="22.835250000000002"/>
  </r>
  <r>
    <x v="2"/>
    <s v="Annual"/>
    <s v="Manufacturing"/>
    <s v="500+"/>
    <n v="209"/>
    <n v="5446.63"/>
    <s v="Partner"/>
    <s v="North America"/>
    <d v="2023-05-20T00:00:00"/>
    <s v="No"/>
    <m/>
    <m/>
    <n v="4"/>
    <n v="2"/>
    <n v="31"/>
    <s v="No"/>
    <n v="0"/>
    <n v="35"/>
    <n v="190632.05000000002"/>
    <s v="Medium Risk"/>
    <n v="953.16025000000013"/>
  </r>
  <r>
    <x v="1"/>
    <s v="Monthly"/>
    <s v="Legal"/>
    <s v="11-01"/>
    <n v="17"/>
    <n v="98.6"/>
    <s v="Referral"/>
    <s v="North America"/>
    <d v="2024-09-23T00:00:00"/>
    <s v="Yes"/>
    <d v="2025-08-11T00:00:00"/>
    <s v="No Longer Needed"/>
    <n v="4"/>
    <n v="4"/>
    <n v="10"/>
    <s v="No"/>
    <n v="1"/>
    <n v="10"/>
    <n v="986"/>
    <s v="High Risk"/>
    <n v="4.93"/>
  </r>
  <r>
    <x v="1"/>
    <s v="Monthly"/>
    <s v="Consulting"/>
    <s v="11-01"/>
    <n v="21"/>
    <n v="116"/>
    <s v="Direct Sales"/>
    <s v="Asia Pacific"/>
    <d v="2025-01-09T00:00:00"/>
    <s v="Yes"/>
    <d v="2025-06-29T00:00:00"/>
    <s v="Switched Competitor"/>
    <n v="15"/>
    <n v="5"/>
    <n v="27"/>
    <s v="No"/>
    <n v="1"/>
    <n v="5"/>
    <n v="580"/>
    <s v="High Risk"/>
    <n v="2.9"/>
  </r>
  <r>
    <x v="1"/>
    <s v="Monthly"/>
    <s v="Finance"/>
    <s v="11-01"/>
    <n v="15"/>
    <n v="89.9"/>
    <s v="Organic Search"/>
    <s v="North America"/>
    <d v="2024-07-20T00:00:00"/>
    <s v="Yes"/>
    <d v="2024-09-16T00:00:00"/>
    <s v="Poor Support"/>
    <n v="11"/>
    <n v="4"/>
    <n v="20"/>
    <s v="No"/>
    <n v="1"/>
    <n v="1"/>
    <n v="89.9"/>
    <s v="High Risk"/>
    <n v="0.44950000000000001"/>
  </r>
  <r>
    <x v="0"/>
    <s v="Monthly"/>
    <s v="Healthcare"/>
    <s v="51-200"/>
    <n v="46"/>
    <n v="612.25"/>
    <s v="Partner"/>
    <s v="North America"/>
    <d v="2024-04-05T00:00:00"/>
    <s v="No"/>
    <m/>
    <m/>
    <n v="3"/>
    <n v="7"/>
    <n v="39"/>
    <s v="No"/>
    <n v="0"/>
    <n v="24"/>
    <n v="14694"/>
    <s v="Medium Risk"/>
    <n v="73.47"/>
  </r>
  <r>
    <x v="1"/>
    <s v="Monthly"/>
    <s v="Finance"/>
    <s v="51-200"/>
    <n v="22"/>
    <n v="120.35"/>
    <s v="Direct Sales"/>
    <s v="North America"/>
    <d v="2022-10-15T00:00:00"/>
    <s v="Yes"/>
    <d v="2024-01-25T00:00:00"/>
    <s v="Company Closed"/>
    <n v="3"/>
    <n v="3"/>
    <n v="27"/>
    <s v="No"/>
    <n v="1"/>
    <n v="15"/>
    <n v="1805.25"/>
    <s v="High Risk"/>
    <n v="9.0262499999999992"/>
  </r>
  <r>
    <x v="1"/>
    <s v="Annual"/>
    <s v="Manufacturing"/>
    <s v="1-10"/>
    <n v="8"/>
    <n v="50.53"/>
    <s v="Organic Search"/>
    <s v="North America"/>
    <d v="2023-08-22T00:00:00"/>
    <s v="No"/>
    <m/>
    <m/>
    <n v="6"/>
    <n v="8"/>
    <n v="32"/>
    <s v="No"/>
    <n v="0"/>
    <n v="32"/>
    <n v="1616.96"/>
    <s v="Medium Risk"/>
    <n v="8.0847999999999995"/>
  </r>
  <r>
    <x v="0"/>
    <s v="Monthly"/>
    <s v="Education"/>
    <s v="1-10"/>
    <n v="1"/>
    <n v="79"/>
    <s v="Social Media"/>
    <s v="North America"/>
    <d v="2023-09-26T00:00:00"/>
    <s v="Yes"/>
    <d v="2025-05-11T00:00:00"/>
    <s v="Price Too High"/>
    <n v="9"/>
    <n v="5"/>
    <n v="44"/>
    <s v="No"/>
    <n v="1"/>
    <n v="19"/>
    <n v="1501"/>
    <s v="Medium Risk"/>
    <n v="7.5049999999999999"/>
  </r>
  <r>
    <x v="2"/>
    <s v="Annual"/>
    <s v="Real Estate"/>
    <s v="1-10"/>
    <n v="3"/>
    <n v="219.9"/>
    <s v="Organic Search"/>
    <s v="North America"/>
    <d v="2025-06-28T00:00:00"/>
    <s v="No"/>
    <m/>
    <m/>
    <n v="7"/>
    <n v="8"/>
    <n v="43"/>
    <s v="No"/>
    <n v="0"/>
    <n v="10"/>
    <n v="2199"/>
    <s v="Medium Risk"/>
    <n v="10.994999999999999"/>
  </r>
  <r>
    <x v="0"/>
    <s v="Monthly"/>
    <s v="Media"/>
    <s v="51-200"/>
    <n v="47"/>
    <n v="624.1"/>
    <s v="Referral"/>
    <s v="Europe"/>
    <d v="2024-10-03T00:00:00"/>
    <s v="No"/>
    <m/>
    <m/>
    <n v="6"/>
    <n v="8"/>
    <n v="63"/>
    <s v="Yes"/>
    <n v="0"/>
    <n v="18"/>
    <n v="11233.800000000001"/>
    <s v="Low Risk"/>
    <n v="56.169000000000004"/>
  </r>
  <r>
    <x v="1"/>
    <s v="Monthly"/>
    <s v="Manufacturing"/>
    <s v="201-500"/>
    <n v="68"/>
    <n v="320.45"/>
    <s v="Paid Ads"/>
    <s v="North America"/>
    <d v="2025-04-01T00:00:00"/>
    <s v="Yes"/>
    <d v="2025-10-19T00:00:00"/>
    <s v="Switched Competitor"/>
    <n v="9"/>
    <n v="4"/>
    <n v="42"/>
    <s v="No"/>
    <n v="1"/>
    <n v="6"/>
    <n v="1922.6999999999998"/>
    <s v="Medium Risk"/>
    <n v="9.6134999999999984"/>
  </r>
  <r>
    <x v="3"/>
    <s v="Annual"/>
    <s v="Healthcare"/>
    <s v="51-200"/>
    <n v="72"/>
    <n v="4941.3500000000004"/>
    <s v="Social Media"/>
    <s v="Latin America"/>
    <d v="2025-02-01T00:00:00"/>
    <s v="Yes"/>
    <d v="2025-02-13T00:00:00"/>
    <s v="Missing Features"/>
    <n v="0"/>
    <n v="1"/>
    <n v="11"/>
    <s v="No"/>
    <n v="1"/>
    <n v="0"/>
    <n v="0"/>
    <s v="High Risk"/>
    <n v="0"/>
  </r>
  <r>
    <x v="0"/>
    <s v="Annual"/>
    <s v="Consulting"/>
    <s v="11-01"/>
    <n v="27"/>
    <n v="329.03"/>
    <s v="Organic Search"/>
    <s v="North America"/>
    <d v="2025-11-17T00:00:00"/>
    <s v="No"/>
    <m/>
    <m/>
    <n v="7"/>
    <n v="4"/>
    <n v="39"/>
    <s v="No"/>
    <n v="0"/>
    <n v="5"/>
    <n v="1645.1499999999999"/>
    <s v="Medium Risk"/>
    <n v="8.2257499999999997"/>
  </r>
  <r>
    <x v="0"/>
    <s v="Monthly"/>
    <s v="Retail"/>
    <s v="51-200"/>
    <n v="64"/>
    <n v="825.55"/>
    <s v="Organic Search"/>
    <s v="Europe"/>
    <d v="2025-04-18T00:00:00"/>
    <s v="No"/>
    <m/>
    <m/>
    <n v="10"/>
    <n v="4"/>
    <n v="87"/>
    <s v="No"/>
    <n v="0"/>
    <n v="12"/>
    <n v="9906.5999999999985"/>
    <s v="Low Risk"/>
    <n v="49.532999999999994"/>
  </r>
  <r>
    <x v="1"/>
    <s v="Monthly"/>
    <s v="Retail"/>
    <s v="1-10"/>
    <n v="6"/>
    <n v="50.75"/>
    <s v="Referral"/>
    <s v="Europe"/>
    <d v="2024-09-10T00:00:00"/>
    <s v="Yes"/>
    <d v="2024-10-27T00:00:00"/>
    <s v="Missing Features"/>
    <n v="5"/>
    <n v="3"/>
    <n v="39"/>
    <s v="No"/>
    <n v="1"/>
    <n v="1"/>
    <n v="50.75"/>
    <s v="Medium Risk"/>
    <n v="0.25374999999999998"/>
  </r>
  <r>
    <x v="1"/>
    <s v="Annual"/>
    <s v="Consulting"/>
    <s v="11-01"/>
    <n v="10"/>
    <n v="57.93"/>
    <s v="Organic Search"/>
    <s v="Europe"/>
    <d v="2024-01-12T00:00:00"/>
    <s v="No"/>
    <m/>
    <m/>
    <n v="8"/>
    <n v="6"/>
    <n v="46"/>
    <s v="Yes"/>
    <n v="0"/>
    <n v="27"/>
    <n v="1564.11"/>
    <s v="Medium Risk"/>
    <n v="7.8205499999999999"/>
  </r>
  <r>
    <x v="3"/>
    <s v="Monthly"/>
    <s v="Manufacturing"/>
    <s v="201-500"/>
    <n v="118"/>
    <n v="9256.4500000000007"/>
    <s v="Organic Search"/>
    <s v="Europe"/>
    <d v="2024-04-06T00:00:00"/>
    <s v="No"/>
    <m/>
    <m/>
    <n v="0"/>
    <n v="10"/>
    <n v="85"/>
    <s v="No"/>
    <n v="0"/>
    <n v="24"/>
    <n v="222154.80000000002"/>
    <s v="Low Risk"/>
    <n v="1110.7740000000001"/>
  </r>
  <r>
    <x v="1"/>
    <s v="Monthly"/>
    <s v="Finance"/>
    <s v="11-01"/>
    <n v="24"/>
    <n v="129.05000000000001"/>
    <s v="Referral"/>
    <s v="North America"/>
    <d v="2023-06-10T00:00:00"/>
    <s v="Yes"/>
    <d v="2023-10-22T00:00:00"/>
    <s v="Switched Competitor"/>
    <n v="13"/>
    <n v="1"/>
    <n v="31"/>
    <s v="No"/>
    <n v="1"/>
    <n v="4"/>
    <n v="516.20000000000005"/>
    <s v="Medium Risk"/>
    <n v="2.5810000000000004"/>
  </r>
  <r>
    <x v="1"/>
    <s v="Monthly"/>
    <s v="Education"/>
    <s v="51-200"/>
    <n v="33"/>
    <n v="168.2"/>
    <s v="Direct Sales"/>
    <s v="North America"/>
    <d v="2023-11-16T00:00:00"/>
    <s v="No"/>
    <m/>
    <m/>
    <n v="4"/>
    <n v="9"/>
    <n v="52"/>
    <s v="No"/>
    <n v="0"/>
    <n v="29"/>
    <n v="4877.7999999999993"/>
    <s v="Medium Risk"/>
    <n v="24.388999999999996"/>
  </r>
  <r>
    <x v="0"/>
    <s v="Monthly"/>
    <s v="Retail"/>
    <s v="51-200"/>
    <n v="44"/>
    <n v="588.54999999999995"/>
    <s v="Organic Search"/>
    <s v="Europe"/>
    <d v="2025-06-09T00:00:00"/>
    <s v="No"/>
    <m/>
    <m/>
    <n v="9"/>
    <n v="5"/>
    <n v="71"/>
    <s v="No"/>
    <n v="0"/>
    <n v="10"/>
    <n v="5885.5"/>
    <s v="Low Risk"/>
    <n v="29.427499999999998"/>
  </r>
  <r>
    <x v="0"/>
    <s v="Monthly"/>
    <s v="Real Estate"/>
    <s v="201-500"/>
    <n v="112"/>
    <n v="1394.35"/>
    <s v="Partner"/>
    <s v="North America"/>
    <d v="2025-02-07T00:00:00"/>
    <s v="No"/>
    <m/>
    <m/>
    <n v="0"/>
    <n v="8"/>
    <n v="17"/>
    <s v="No"/>
    <n v="0"/>
    <n v="14"/>
    <n v="19520.899999999998"/>
    <s v="High Risk"/>
    <n v="97.604499999999987"/>
  </r>
  <r>
    <x v="2"/>
    <s v="Monthly"/>
    <s v="Consulting"/>
    <s v="51-200"/>
    <n v="55"/>
    <n v="1810.9"/>
    <s v="Paid Ads"/>
    <s v="North America"/>
    <d v="2024-04-03T00:00:00"/>
    <s v="Yes"/>
    <d v="2024-12-04T00:00:00"/>
    <s v="Poor Support"/>
    <n v="2"/>
    <n v="2"/>
    <n v="15"/>
    <s v="No"/>
    <n v="1"/>
    <n v="8"/>
    <n v="14487.2"/>
    <s v="High Risk"/>
    <n v="72.436000000000007"/>
  </r>
  <r>
    <x v="2"/>
    <s v="Annual"/>
    <s v="Consulting"/>
    <s v="11-01"/>
    <n v="15"/>
    <n v="524.37"/>
    <s v="Paid Ads"/>
    <s v="North America"/>
    <d v="2024-05-09T00:00:00"/>
    <s v="No"/>
    <m/>
    <m/>
    <n v="6"/>
    <n v="9"/>
    <n v="23"/>
    <s v="Yes"/>
    <n v="0"/>
    <n v="23"/>
    <n v="12060.51"/>
    <s v="High Risk"/>
    <n v="60.302550000000004"/>
  </r>
  <r>
    <x v="1"/>
    <s v="Monthly"/>
    <s v="Media"/>
    <s v="201-500"/>
    <n v="45"/>
    <n v="220.4"/>
    <s v="Paid Ads"/>
    <s v="Europe"/>
    <d v="2023-07-10T00:00:00"/>
    <s v="Yes"/>
    <d v="2023-07-12T00:00:00"/>
    <s v="Company Closed"/>
    <n v="7"/>
    <n v="3"/>
    <n v="49"/>
    <s v="No"/>
    <n v="1"/>
    <n v="0"/>
    <n v="0"/>
    <s v="Medium Risk"/>
    <n v="0"/>
  </r>
  <r>
    <x v="0"/>
    <s v="Monthly"/>
    <s v="Consulting"/>
    <s v="500+"/>
    <n v="109"/>
    <n v="1358.8"/>
    <s v="Direct Sales"/>
    <s v="Europe"/>
    <d v="2022-08-15T00:00:00"/>
    <s v="No"/>
    <m/>
    <m/>
    <n v="0"/>
    <n v="3"/>
    <n v="30"/>
    <s v="No"/>
    <n v="0"/>
    <n v="44"/>
    <n v="59787.199999999997"/>
    <s v="Medium Risk"/>
    <n v="298.93599999999998"/>
  </r>
  <r>
    <x v="2"/>
    <s v="Monthly"/>
    <s v="Real Estate"/>
    <s v="51-200"/>
    <n v="29"/>
    <n v="1034.8"/>
    <s v="Referral"/>
    <s v="North America"/>
    <d v="2023-04-29T00:00:00"/>
    <s v="No"/>
    <m/>
    <m/>
    <n v="12"/>
    <n v="1"/>
    <n v="86"/>
    <s v="No"/>
    <n v="0"/>
    <n v="36"/>
    <n v="37252.799999999996"/>
    <s v="Low Risk"/>
    <n v="186.26399999999998"/>
  </r>
  <r>
    <x v="2"/>
    <s v="Monthly"/>
    <s v="Media"/>
    <s v="11-01"/>
    <n v="34"/>
    <n v="1184.05"/>
    <s v="Partner"/>
    <s v="Latin America"/>
    <d v="2022-04-16T00:00:00"/>
    <s v="Yes"/>
    <d v="2023-07-02T00:00:00"/>
    <s v="Missing Features"/>
    <n v="8"/>
    <n v="3"/>
    <n v="24"/>
    <s v="No"/>
    <n v="1"/>
    <n v="14"/>
    <n v="16576.7"/>
    <s v="High Risk"/>
    <n v="82.883499999999998"/>
  </r>
  <r>
    <x v="1"/>
    <s v="Annual"/>
    <s v="Legal"/>
    <s v="1-10"/>
    <n v="4"/>
    <n v="35.74"/>
    <s v="Social Media"/>
    <s v="Asia Pacific"/>
    <d v="2025-02-15T00:00:00"/>
    <s v="No"/>
    <m/>
    <m/>
    <n v="6"/>
    <n v="2"/>
    <n v="23"/>
    <s v="No"/>
    <n v="0"/>
    <n v="14"/>
    <n v="500.36"/>
    <s v="High Risk"/>
    <n v="2.5018000000000002"/>
  </r>
  <r>
    <x v="1"/>
    <s v="Monthly"/>
    <s v="Technology"/>
    <s v="51-200"/>
    <n v="66"/>
    <n v="311.75"/>
    <s v="Referral"/>
    <s v="Asia Pacific"/>
    <d v="2023-09-09T00:00:00"/>
    <s v="Yes"/>
    <d v="2023-10-29T00:00:00"/>
    <s v="Budget Cuts"/>
    <n v="1"/>
    <n v="4"/>
    <n v="15"/>
    <s v="No"/>
    <n v="1"/>
    <n v="1"/>
    <n v="311.75"/>
    <s v="High Risk"/>
    <n v="1.5587500000000001"/>
  </r>
  <r>
    <x v="2"/>
    <s v="Annual"/>
    <s v="Manufacturing"/>
    <s v="11-01"/>
    <n v="10"/>
    <n v="397.5"/>
    <s v="Paid Ads"/>
    <s v="Asia Pacific"/>
    <d v="2023-11-02T00:00:00"/>
    <s v="No"/>
    <m/>
    <m/>
    <n v="1"/>
    <n v="8"/>
    <n v="38"/>
    <s v="No"/>
    <n v="0"/>
    <n v="29"/>
    <n v="11527.5"/>
    <s v="Medium Risk"/>
    <n v="57.637500000000003"/>
  </r>
  <r>
    <x v="3"/>
    <s v="Monthly"/>
    <s v="Retail"/>
    <s v="201-500"/>
    <n v="122"/>
    <n v="9555.85"/>
    <s v="Organic Search"/>
    <s v="North America"/>
    <d v="2024-10-07T00:00:00"/>
    <s v="No"/>
    <m/>
    <m/>
    <n v="4"/>
    <n v="7"/>
    <n v="94"/>
    <s v="Yes"/>
    <n v="0"/>
    <n v="18"/>
    <n v="172005.30000000002"/>
    <s v="Low Risk"/>
    <n v="860.02650000000006"/>
  </r>
  <r>
    <x v="1"/>
    <s v="Monthly"/>
    <s v="Technology"/>
    <s v="51-200"/>
    <n v="23"/>
    <n v="124.7"/>
    <s v="Paid Ads"/>
    <s v="Europe"/>
    <d v="2025-04-21T00:00:00"/>
    <s v="Yes"/>
    <d v="2025-05-07T00:00:00"/>
    <s v="Poor Support"/>
    <n v="7"/>
    <n v="6"/>
    <n v="18"/>
    <s v="No"/>
    <n v="1"/>
    <n v="0"/>
    <n v="0"/>
    <s v="High Risk"/>
    <n v="0"/>
  </r>
  <r>
    <x v="2"/>
    <s v="Annual"/>
    <s v="Manufacturing"/>
    <s v="1-10"/>
    <n v="1"/>
    <n v="169.15"/>
    <s v="Organic Search"/>
    <s v="North America"/>
    <d v="2025-11-28T00:00:00"/>
    <s v="No"/>
    <m/>
    <m/>
    <n v="5"/>
    <n v="3"/>
    <n v="39"/>
    <s v="No"/>
    <n v="0"/>
    <n v="5"/>
    <n v="845.75"/>
    <s v="Medium Risk"/>
    <n v="4.2287499999999998"/>
  </r>
  <r>
    <x v="0"/>
    <s v="Monthly"/>
    <s v="Consulting"/>
    <s v="1-10"/>
    <n v="6"/>
    <n v="138.25"/>
    <s v="Referral"/>
    <s v="Europe"/>
    <d v="2024-04-15T00:00:00"/>
    <s v="Yes"/>
    <d v="2024-06-23T00:00:00"/>
    <s v="Missing Features"/>
    <n v="5"/>
    <n v="4"/>
    <n v="14"/>
    <s v="No"/>
    <n v="1"/>
    <n v="2"/>
    <n v="276.5"/>
    <s v="High Risk"/>
    <n v="1.3825000000000001"/>
  </r>
  <r>
    <x v="2"/>
    <s v="Annual"/>
    <s v="Media"/>
    <s v="500+"/>
    <n v="251"/>
    <n v="6512.27"/>
    <s v="Social Media"/>
    <s v="Latin America"/>
    <d v="2025-11-07T00:00:00"/>
    <s v="No"/>
    <m/>
    <m/>
    <n v="10"/>
    <n v="6"/>
    <n v="38"/>
    <s v="No"/>
    <n v="0"/>
    <n v="5"/>
    <n v="32561.350000000002"/>
    <s v="Medium Risk"/>
    <n v="162.80675000000002"/>
  </r>
  <r>
    <x v="1"/>
    <s v="Annual"/>
    <s v="Healthcare"/>
    <s v="201-500"/>
    <n v="111"/>
    <n v="431.37"/>
    <s v="Direct Sales"/>
    <s v="Europe"/>
    <d v="2024-03-22T00:00:00"/>
    <s v="Yes"/>
    <d v="2024-11-18T00:00:00"/>
    <s v="Company Closed"/>
    <n v="5"/>
    <n v="1"/>
    <n v="36"/>
    <s v="No"/>
    <n v="1"/>
    <n v="7"/>
    <n v="3019.59"/>
    <s v="Medium Risk"/>
    <n v="15.097950000000001"/>
  </r>
  <r>
    <x v="0"/>
    <s v="Monthly"/>
    <s v="Finance"/>
    <s v="1-10"/>
    <n v="6"/>
    <n v="138.25"/>
    <s v="Direct Sales"/>
    <s v="North America"/>
    <d v="2025-04-18T00:00:00"/>
    <s v="Yes"/>
    <d v="2025-10-15T00:00:00"/>
    <s v="Poor Support"/>
    <n v="5"/>
    <n v="3"/>
    <n v="36"/>
    <s v="No"/>
    <n v="1"/>
    <n v="5"/>
    <n v="691.25"/>
    <s v="Medium Risk"/>
    <n v="3.4562499999999998"/>
  </r>
  <r>
    <x v="2"/>
    <s v="Monthly"/>
    <s v="Education"/>
    <s v="1-10"/>
    <n v="1"/>
    <n v="199"/>
    <s v="Referral"/>
    <s v="North America"/>
    <d v="2025-10-14T00:00:00"/>
    <s v="No"/>
    <m/>
    <m/>
    <n v="1"/>
    <n v="10"/>
    <n v="69"/>
    <s v="No"/>
    <n v="0"/>
    <n v="6"/>
    <n v="1194"/>
    <s v="Low Risk"/>
    <n v="5.97"/>
  </r>
  <r>
    <x v="1"/>
    <s v="Annual"/>
    <s v="Legal"/>
    <s v="11-01"/>
    <n v="31"/>
    <n v="135.57"/>
    <s v="Partner"/>
    <s v="Europe"/>
    <d v="2022-09-28T00:00:00"/>
    <s v="Yes"/>
    <d v="2025-01-12T00:00:00"/>
    <s v="Price Too High"/>
    <n v="0"/>
    <n v="6"/>
    <n v="40"/>
    <s v="No"/>
    <n v="1"/>
    <n v="27"/>
    <n v="3660.39"/>
    <s v="Medium Risk"/>
    <n v="18.301949999999998"/>
  </r>
  <r>
    <x v="2"/>
    <s v="Annual"/>
    <s v="Legal"/>
    <s v="11-01"/>
    <n v="19"/>
    <n v="625.86"/>
    <s v="Social Media"/>
    <s v="North America"/>
    <d v="2024-05-12T00:00:00"/>
    <s v="Yes"/>
    <d v="2025-10-19T00:00:00"/>
    <s v="Poor Support"/>
    <n v="15"/>
    <n v="2"/>
    <n v="47"/>
    <s v="No"/>
    <n v="1"/>
    <n v="17"/>
    <n v="10639.62"/>
    <s v="Medium Risk"/>
    <n v="53.198100000000004"/>
  </r>
  <r>
    <x v="0"/>
    <s v="Monthly"/>
    <s v="Legal"/>
    <s v="11-01"/>
    <n v="32"/>
    <n v="446.35"/>
    <s v="Organic Search"/>
    <s v="North America"/>
    <d v="2022-11-29T00:00:00"/>
    <s v="Yes"/>
    <d v="2024-01-13T00:00:00"/>
    <s v="Company Closed"/>
    <n v="7"/>
    <n v="1"/>
    <n v="20"/>
    <s v="No"/>
    <n v="1"/>
    <n v="13"/>
    <n v="5802.55"/>
    <s v="High Risk"/>
    <n v="29.01275"/>
  </r>
  <r>
    <x v="1"/>
    <s v="Annual"/>
    <s v="Media"/>
    <s v="11-01"/>
    <n v="12"/>
    <n v="65.319999999999993"/>
    <s v="Organic Search"/>
    <s v="Europe"/>
    <d v="2025-05-18T00:00:00"/>
    <s v="No"/>
    <m/>
    <m/>
    <n v="0"/>
    <n v="9"/>
    <n v="50"/>
    <s v="Yes"/>
    <n v="0"/>
    <n v="11"/>
    <n v="718.52"/>
    <s v="Medium Risk"/>
    <n v="3.5926"/>
  </r>
  <r>
    <x v="2"/>
    <s v="Monthly"/>
    <s v="Real Estate"/>
    <s v="1-10"/>
    <n v="1"/>
    <n v="199"/>
    <s v="Organic Search"/>
    <s v="Europe"/>
    <d v="2022-03-25T00:00:00"/>
    <s v="Yes"/>
    <d v="2022-04-20T00:00:00"/>
    <s v="Budget Cuts"/>
    <n v="14"/>
    <n v="5"/>
    <n v="28"/>
    <s v="No"/>
    <n v="1"/>
    <n v="0"/>
    <n v="0"/>
    <s v="High Risk"/>
    <n v="0"/>
  </r>
  <r>
    <x v="2"/>
    <s v="Monthly"/>
    <s v="Education"/>
    <s v="11-01"/>
    <n v="7"/>
    <n v="378.1"/>
    <s v="Organic Search"/>
    <s v="North America"/>
    <d v="2023-03-07T00:00:00"/>
    <s v="No"/>
    <m/>
    <m/>
    <n v="10"/>
    <n v="10"/>
    <n v="58"/>
    <s v="Yes"/>
    <n v="0"/>
    <n v="37"/>
    <n v="13989.7"/>
    <s v="Medium Risk"/>
    <n v="69.94850000000001"/>
  </r>
  <r>
    <x v="1"/>
    <s v="Annual"/>
    <s v="Retail"/>
    <s v="500+"/>
    <n v="285"/>
    <n v="1074.74"/>
    <s v="Social Media"/>
    <s v="North America"/>
    <d v="2024-09-27T00:00:00"/>
    <s v="No"/>
    <m/>
    <m/>
    <n v="2"/>
    <n v="9"/>
    <n v="91"/>
    <s v="Yes"/>
    <n v="0"/>
    <n v="19"/>
    <n v="20420.060000000001"/>
    <s v="Low Risk"/>
    <n v="102.1003"/>
  </r>
  <r>
    <x v="1"/>
    <s v="Annual"/>
    <s v="Real Estate"/>
    <s v="51-200"/>
    <n v="31"/>
    <n v="135.57"/>
    <s v="Referral"/>
    <s v="Europe"/>
    <d v="2022-04-19T00:00:00"/>
    <s v="Yes"/>
    <d v="2024-04-18T00:00:00"/>
    <s v="No Longer Needed"/>
    <n v="4"/>
    <n v="5"/>
    <n v="36"/>
    <s v="No"/>
    <n v="1"/>
    <n v="23"/>
    <n v="3118.1099999999997"/>
    <s v="Medium Risk"/>
    <n v="15.590549999999999"/>
  </r>
  <r>
    <x v="0"/>
    <s v="Annual"/>
    <s v="Media"/>
    <s v="201-500"/>
    <n v="143"/>
    <n v="1497.45"/>
    <s v="Partner"/>
    <s v="Asia Pacific"/>
    <d v="2025-07-02T00:00:00"/>
    <s v="No"/>
    <m/>
    <m/>
    <n v="3"/>
    <n v="1"/>
    <n v="84"/>
    <s v="No"/>
    <n v="0"/>
    <n v="9"/>
    <n v="13477.050000000001"/>
    <s v="Low Risk"/>
    <n v="67.385249999999999"/>
  </r>
  <r>
    <x v="0"/>
    <s v="Monthly"/>
    <s v="Real Estate"/>
    <s v="500+"/>
    <n v="193"/>
    <n v="2354.1999999999998"/>
    <s v="Organic Search"/>
    <s v="North America"/>
    <d v="2023-07-30T00:00:00"/>
    <s v="Yes"/>
    <d v="2025-02-05T00:00:00"/>
    <s v="Switched Competitor"/>
    <n v="3"/>
    <n v="3"/>
    <n v="39"/>
    <s v="No"/>
    <n v="1"/>
    <n v="18"/>
    <n v="42375.6"/>
    <s v="Medium Risk"/>
    <n v="211.87799999999999"/>
  </r>
  <r>
    <x v="0"/>
    <s v="Annual"/>
    <s v="Legal"/>
    <s v="1-10"/>
    <n v="5"/>
    <n v="107.44"/>
    <s v="Organic Search"/>
    <s v="North America"/>
    <d v="2024-09-08T00:00:00"/>
    <s v="No"/>
    <m/>
    <m/>
    <n v="1"/>
    <n v="9"/>
    <n v="95"/>
    <s v="No"/>
    <n v="0"/>
    <n v="19"/>
    <n v="2041.36"/>
    <s v="Low Risk"/>
    <n v="10.206799999999999"/>
  </r>
  <r>
    <x v="2"/>
    <s v="Monthly"/>
    <s v="Manufacturing"/>
    <s v="1-10"/>
    <n v="8"/>
    <n v="407.95"/>
    <s v="Partner"/>
    <s v="North America"/>
    <d v="2024-02-05T00:00:00"/>
    <s v="Yes"/>
    <d v="2025-05-14T00:00:00"/>
    <s v="Budget Cuts"/>
    <n v="14"/>
    <n v="6"/>
    <n v="19"/>
    <s v="No"/>
    <n v="1"/>
    <n v="15"/>
    <n v="6119.25"/>
    <s v="High Risk"/>
    <n v="30.596250000000001"/>
  </r>
  <r>
    <x v="2"/>
    <s v="Annual"/>
    <s v="Healthcare"/>
    <s v="11-01"/>
    <n v="8"/>
    <n v="346.76"/>
    <s v="Partner"/>
    <s v="Europe"/>
    <d v="2025-08-08T00:00:00"/>
    <s v="No"/>
    <m/>
    <m/>
    <n v="3"/>
    <n v="6"/>
    <n v="43"/>
    <s v="No"/>
    <n v="0"/>
    <n v="8"/>
    <n v="2774.08"/>
    <s v="Medium Risk"/>
    <n v="13.8704"/>
  </r>
  <r>
    <x v="1"/>
    <s v="Monthly"/>
    <s v="Media"/>
    <s v="51-200"/>
    <n v="52"/>
    <n v="250.85"/>
    <s v="Organic Search"/>
    <s v="North America"/>
    <d v="2025-02-14T00:00:00"/>
    <s v="No"/>
    <m/>
    <m/>
    <n v="2"/>
    <n v="7"/>
    <n v="42"/>
    <s v="No"/>
    <n v="0"/>
    <n v="14"/>
    <n v="3511.9"/>
    <s v="Medium Risk"/>
    <n v="17.5595"/>
  </r>
  <r>
    <x v="0"/>
    <s v="Monthly"/>
    <s v="Manufacturing"/>
    <s v="51-200"/>
    <n v="45"/>
    <n v="600.4"/>
    <s v="Paid Ads"/>
    <s v="North America"/>
    <d v="2025-03-22T00:00:00"/>
    <s v="No"/>
    <m/>
    <m/>
    <n v="11"/>
    <n v="1"/>
    <n v="56"/>
    <s v="No"/>
    <n v="0"/>
    <n v="13"/>
    <n v="7805.2"/>
    <s v="Medium Risk"/>
    <n v="39.025999999999996"/>
  </r>
  <r>
    <x v="1"/>
    <s v="Annual"/>
    <s v="Retail"/>
    <s v="11-01"/>
    <n v="22"/>
    <n v="102.3"/>
    <s v="Referral"/>
    <s v="North America"/>
    <d v="2022-04-14T00:00:00"/>
    <s v="Yes"/>
    <d v="2022-07-08T00:00:00"/>
    <s v="Budget Cuts"/>
    <n v="5"/>
    <n v="4"/>
    <n v="20"/>
    <s v="No"/>
    <n v="1"/>
    <n v="2"/>
    <n v="204.6"/>
    <s v="High Risk"/>
    <n v="1.0229999999999999"/>
  </r>
  <r>
    <x v="3"/>
    <s v="Monthly"/>
    <s v="Consulting"/>
    <s v="1-10"/>
    <n v="3"/>
    <n v="648.70000000000005"/>
    <s v="Paid Ads"/>
    <s v="Asia Pacific"/>
    <d v="2023-05-07T00:00:00"/>
    <s v="No"/>
    <m/>
    <m/>
    <n v="3"/>
    <n v="1"/>
    <n v="41"/>
    <s v="No"/>
    <n v="0"/>
    <n v="35"/>
    <n v="22704.5"/>
    <s v="Medium Risk"/>
    <n v="113.52249999999999"/>
  </r>
  <r>
    <x v="0"/>
    <s v="Annual"/>
    <s v="Retail"/>
    <s v="201-500"/>
    <n v="49"/>
    <n v="550.63"/>
    <s v="Organic Search"/>
    <s v="North America"/>
    <d v="2022-09-26T00:00:00"/>
    <s v="No"/>
    <m/>
    <m/>
    <n v="12"/>
    <n v="7"/>
    <n v="46"/>
    <s v="No"/>
    <n v="0"/>
    <n v="43"/>
    <n v="23677.09"/>
    <s v="Medium Risk"/>
    <n v="118.38545000000001"/>
  </r>
  <r>
    <x v="0"/>
    <s v="Monthly"/>
    <s v="Consulting"/>
    <s v="1-10"/>
    <n v="3"/>
    <n v="102.7"/>
    <s v="Social Media"/>
    <s v="Asia Pacific"/>
    <d v="2025-04-03T00:00:00"/>
    <s v="Yes"/>
    <d v="2025-12-11T00:00:00"/>
    <s v="No Longer Needed"/>
    <n v="3"/>
    <n v="2"/>
    <n v="20"/>
    <s v="No"/>
    <n v="1"/>
    <n v="8"/>
    <n v="821.6"/>
    <s v="High Risk"/>
    <n v="4.1080000000000005"/>
  </r>
  <r>
    <x v="0"/>
    <s v="Monthly"/>
    <s v="Media"/>
    <s v="51-200"/>
    <n v="66"/>
    <n v="849.25"/>
    <s v="Referral"/>
    <s v="North America"/>
    <d v="2023-02-25T00:00:00"/>
    <s v="Yes"/>
    <d v="2025-08-03T00:00:00"/>
    <s v="Price Too High"/>
    <n v="6"/>
    <n v="2"/>
    <n v="37"/>
    <s v="No"/>
    <n v="1"/>
    <n v="29"/>
    <n v="24628.25"/>
    <s v="Medium Risk"/>
    <n v="123.14125"/>
  </r>
  <r>
    <x v="0"/>
    <s v="Monthly"/>
    <s v="Technology"/>
    <s v="11-01"/>
    <n v="13"/>
    <n v="221.2"/>
    <s v="Organic Search"/>
    <s v="North America"/>
    <d v="2025-02-24T00:00:00"/>
    <s v="Yes"/>
    <d v="2025-03-05T00:00:00"/>
    <s v="Company Closed"/>
    <n v="6"/>
    <n v="4"/>
    <n v="19"/>
    <s v="No"/>
    <n v="1"/>
    <n v="0"/>
    <n v="0"/>
    <s v="High Risk"/>
    <n v="0"/>
  </r>
  <r>
    <x v="1"/>
    <s v="Monthly"/>
    <s v="Legal"/>
    <s v="201-500"/>
    <n v="103"/>
    <n v="472.7"/>
    <s v="Partner"/>
    <s v="Europe"/>
    <d v="2024-02-21T00:00:00"/>
    <s v="Yes"/>
    <d v="2024-05-27T00:00:00"/>
    <s v="Budget Cuts"/>
    <n v="11"/>
    <n v="1"/>
    <n v="14"/>
    <s v="No"/>
    <n v="1"/>
    <n v="3"/>
    <n v="1418.1"/>
    <s v="High Risk"/>
    <n v="7.0904999999999996"/>
  </r>
  <r>
    <x v="0"/>
    <s v="Annual"/>
    <s v="Manufacturing"/>
    <s v="1-10"/>
    <n v="6"/>
    <n v="117.51"/>
    <s v="Organic Search"/>
    <s v="Latin America"/>
    <d v="2025-12-31T00:00:00"/>
    <s v="No"/>
    <m/>
    <m/>
    <n v="2"/>
    <n v="9"/>
    <n v="20"/>
    <s v="No"/>
    <n v="0"/>
    <n v="4"/>
    <n v="470.04"/>
    <s v="High Risk"/>
    <n v="2.3502000000000001"/>
  </r>
  <r>
    <x v="0"/>
    <s v="Annual"/>
    <s v="Finance"/>
    <s v="51-200"/>
    <n v="41"/>
    <n v="470.05"/>
    <s v="Partner"/>
    <s v="Europe"/>
    <d v="2025-08-13T00:00:00"/>
    <s v="No"/>
    <m/>
    <m/>
    <n v="2"/>
    <n v="8"/>
    <n v="37"/>
    <s v="No"/>
    <n v="0"/>
    <n v="8"/>
    <n v="3760.4"/>
    <s v="Medium Risk"/>
    <n v="18.802"/>
  </r>
  <r>
    <x v="2"/>
    <s v="Monthly"/>
    <s v="Education"/>
    <s v="1-10"/>
    <n v="6"/>
    <n v="348.25"/>
    <s v="Organic Search"/>
    <s v="Latin America"/>
    <d v="2024-10-01T00:00:00"/>
    <s v="No"/>
    <m/>
    <m/>
    <n v="7"/>
    <n v="7"/>
    <n v="30"/>
    <s v="No"/>
    <n v="0"/>
    <n v="19"/>
    <n v="6616.75"/>
    <s v="Medium Risk"/>
    <n v="33.083750000000002"/>
  </r>
  <r>
    <x v="1"/>
    <s v="Monthly"/>
    <s v="Legal"/>
    <s v="201-500"/>
    <n v="50"/>
    <n v="242.15"/>
    <s v="Referral"/>
    <s v="Asia Pacific"/>
    <d v="2024-01-28T00:00:00"/>
    <s v="No"/>
    <m/>
    <m/>
    <n v="0"/>
    <n v="3"/>
    <n v="40"/>
    <s v="Yes"/>
    <n v="0"/>
    <n v="27"/>
    <n v="6538.05"/>
    <s v="Medium Risk"/>
    <n v="32.690249999999999"/>
  </r>
  <r>
    <x v="3"/>
    <s v="Monthly"/>
    <s v="Education"/>
    <s v="11-01"/>
    <n v="31"/>
    <n v="2744.5"/>
    <s v="Referral"/>
    <s v="Europe"/>
    <d v="2023-02-02T00:00:00"/>
    <s v="Yes"/>
    <d v="2023-05-07T00:00:00"/>
    <s v="Switched Competitor"/>
    <n v="3"/>
    <n v="1"/>
    <n v="12"/>
    <s v="No"/>
    <n v="1"/>
    <n v="3"/>
    <n v="8233.5"/>
    <s v="High Risk"/>
    <n v="41.167499999999997"/>
  </r>
  <r>
    <x v="2"/>
    <s v="Monthly"/>
    <s v="Finance"/>
    <s v="51-200"/>
    <n v="48"/>
    <n v="1601.95"/>
    <s v="Organic Search"/>
    <s v="Europe"/>
    <d v="2025-10-17T00:00:00"/>
    <s v="No"/>
    <m/>
    <m/>
    <n v="7"/>
    <n v="4"/>
    <n v="52"/>
    <s v="No"/>
    <n v="0"/>
    <n v="6"/>
    <n v="9611.7000000000007"/>
    <s v="Medium Risk"/>
    <n v="48.058500000000002"/>
  </r>
  <r>
    <x v="1"/>
    <s v="Monthly"/>
    <s v="Finance"/>
    <s v="1-10"/>
    <n v="7"/>
    <n v="55.1"/>
    <s v="Organic Search"/>
    <s v="North America"/>
    <d v="2025-09-09T00:00:00"/>
    <s v="No"/>
    <m/>
    <m/>
    <n v="4"/>
    <n v="3"/>
    <n v="93"/>
    <s v="No"/>
    <n v="0"/>
    <n v="7"/>
    <n v="385.7"/>
    <s v="Low Risk"/>
    <n v="1.9284999999999999"/>
  </r>
  <r>
    <x v="1"/>
    <s v="Monthly"/>
    <s v="Healthcare"/>
    <s v="1-10"/>
    <n v="3"/>
    <n v="37.700000000000003"/>
    <s v="Direct Sales"/>
    <s v="Europe"/>
    <d v="2025-05-01T00:00:00"/>
    <s v="No"/>
    <m/>
    <m/>
    <n v="2"/>
    <n v="6"/>
    <n v="66"/>
    <s v="No"/>
    <n v="0"/>
    <n v="12"/>
    <n v="452.40000000000003"/>
    <s v="Low Risk"/>
    <n v="2.262"/>
  </r>
  <r>
    <x v="2"/>
    <s v="Annual"/>
    <s v="Legal"/>
    <s v="11-01"/>
    <n v="25"/>
    <n v="778.09"/>
    <s v="Partner"/>
    <s v="North America"/>
    <d v="2025-06-11T00:00:00"/>
    <s v="No"/>
    <m/>
    <m/>
    <n v="4"/>
    <n v="3"/>
    <n v="90"/>
    <s v="No"/>
    <n v="0"/>
    <n v="10"/>
    <n v="7780.9000000000005"/>
    <s v="Low Risk"/>
    <n v="38.904500000000006"/>
  </r>
  <r>
    <x v="0"/>
    <s v="Monthly"/>
    <s v="Finance"/>
    <s v="11-01"/>
    <n v="15"/>
    <n v="244.9"/>
    <s v="Partner"/>
    <s v="North America"/>
    <d v="2025-05-03T00:00:00"/>
    <s v="No"/>
    <m/>
    <m/>
    <n v="1"/>
    <n v="6"/>
    <n v="86"/>
    <s v="Yes"/>
    <n v="0"/>
    <n v="11"/>
    <n v="2693.9"/>
    <s v="Low Risk"/>
    <n v="13.4695"/>
  </r>
  <r>
    <x v="0"/>
    <s v="Monthly"/>
    <s v="Manufacturing"/>
    <s v="51-200"/>
    <n v="18"/>
    <n v="280.45"/>
    <s v="Paid Ads"/>
    <s v="North America"/>
    <d v="2022-11-22T00:00:00"/>
    <s v="Yes"/>
    <d v="2025-09-25T00:00:00"/>
    <s v="Switched Competitor"/>
    <n v="6"/>
    <n v="2"/>
    <n v="11"/>
    <s v="No"/>
    <n v="1"/>
    <n v="34"/>
    <n v="9535.2999999999993"/>
    <s v="High Risk"/>
    <n v="47.676499999999997"/>
  </r>
  <r>
    <x v="1"/>
    <s v="Monthly"/>
    <s v="Manufacturing"/>
    <s v="201-500"/>
    <n v="82"/>
    <n v="381.35"/>
    <s v="Organic Search"/>
    <s v="North America"/>
    <d v="2024-11-10T00:00:00"/>
    <s v="No"/>
    <m/>
    <m/>
    <n v="10"/>
    <n v="4"/>
    <n v="84"/>
    <s v="Yes"/>
    <n v="0"/>
    <n v="17"/>
    <n v="6482.9500000000007"/>
    <s v="Low Risk"/>
    <n v="32.414750000000005"/>
  </r>
  <r>
    <x v="1"/>
    <s v="Monthly"/>
    <s v="Healthcare"/>
    <s v="201-500"/>
    <n v="111"/>
    <n v="507.5"/>
    <s v="Social Media"/>
    <s v="North America"/>
    <d v="2025-12-13T00:00:00"/>
    <s v="No"/>
    <m/>
    <m/>
    <n v="9"/>
    <n v="7"/>
    <n v="73"/>
    <s v="No"/>
    <n v="0"/>
    <n v="4"/>
    <n v="2030"/>
    <s v="Low Risk"/>
    <n v="10.15"/>
  </r>
  <r>
    <x v="2"/>
    <s v="Annual"/>
    <s v="Finance"/>
    <s v="1-10"/>
    <n v="2"/>
    <n v="194.52"/>
    <s v="Organic Search"/>
    <s v="Latin America"/>
    <d v="2023-07-02T00:00:00"/>
    <s v="Yes"/>
    <d v="2023-09-25T00:00:00"/>
    <s v="Budget Cuts"/>
    <n v="1"/>
    <n v="2"/>
    <n v="39"/>
    <s v="No"/>
    <n v="1"/>
    <n v="2"/>
    <n v="389.04"/>
    <s v="Medium Risk"/>
    <n v="1.9452"/>
  </r>
  <r>
    <x v="3"/>
    <s v="Monthly"/>
    <s v="Manufacturing"/>
    <s v="51-200"/>
    <n v="71"/>
    <n v="5738.5"/>
    <s v="Referral"/>
    <s v="North America"/>
    <d v="2023-01-13T00:00:00"/>
    <s v="No"/>
    <m/>
    <m/>
    <n v="9"/>
    <n v="10"/>
    <n v="36"/>
    <s v="No"/>
    <n v="0"/>
    <n v="39"/>
    <n v="223801.5"/>
    <s v="Medium Risk"/>
    <n v="1119.0074999999999"/>
  </r>
  <r>
    <x v="2"/>
    <s v="Monthly"/>
    <s v="Technology"/>
    <s v="11-01"/>
    <n v="19"/>
    <n v="736.3"/>
    <s v="Organic Search"/>
    <s v="North America"/>
    <d v="2025-03-22T00:00:00"/>
    <s v="No"/>
    <m/>
    <m/>
    <n v="12"/>
    <n v="9"/>
    <n v="47"/>
    <s v="Yes"/>
    <n v="0"/>
    <n v="13"/>
    <n v="9571.9"/>
    <s v="Medium Risk"/>
    <n v="47.859499999999997"/>
  </r>
  <r>
    <x v="0"/>
    <s v="Monthly"/>
    <s v="Manufacturing"/>
    <s v="51-200"/>
    <n v="51"/>
    <n v="671.5"/>
    <s v="Organic Search"/>
    <s v="North America"/>
    <d v="2022-01-06T00:00:00"/>
    <s v="No"/>
    <m/>
    <m/>
    <n v="3"/>
    <n v="7"/>
    <n v="75"/>
    <s v="No"/>
    <n v="0"/>
    <n v="51"/>
    <n v="34246.5"/>
    <s v="Low Risk"/>
    <n v="171.23249999999999"/>
  </r>
  <r>
    <x v="2"/>
    <s v="Annual"/>
    <s v="Consulting"/>
    <s v="201-500"/>
    <n v="55"/>
    <n v="1539.27"/>
    <s v="Paid Ads"/>
    <s v="Latin America"/>
    <d v="2022-07-29T00:00:00"/>
    <s v="Yes"/>
    <d v="2024-05-29T00:00:00"/>
    <s v="Poor Support"/>
    <n v="8"/>
    <n v="2"/>
    <n v="34"/>
    <s v="No"/>
    <n v="1"/>
    <n v="22"/>
    <n v="33863.94"/>
    <s v="Medium Risk"/>
    <n v="169.31970000000001"/>
  </r>
  <r>
    <x v="3"/>
    <s v="Annual"/>
    <s v="Finance"/>
    <s v="51-200"/>
    <n v="16"/>
    <n v="1378.49"/>
    <s v="Social Media"/>
    <s v="North America"/>
    <d v="2023-01-12T00:00:00"/>
    <s v="No"/>
    <m/>
    <m/>
    <n v="9"/>
    <n v="6"/>
    <n v="31"/>
    <s v="No"/>
    <n v="0"/>
    <n v="39"/>
    <n v="53761.11"/>
    <s v="Medium Risk"/>
    <n v="268.80554999999998"/>
  </r>
  <r>
    <x v="0"/>
    <s v="Monthly"/>
    <s v="Technology"/>
    <s v="1-10"/>
    <n v="8"/>
    <n v="161.94999999999999"/>
    <s v="Direct Sales"/>
    <s v="North America"/>
    <d v="2023-07-03T00:00:00"/>
    <s v="Yes"/>
    <d v="2025-01-31T00:00:00"/>
    <s v="Switched Competitor"/>
    <n v="3"/>
    <n v="1"/>
    <n v="32"/>
    <s v="No"/>
    <n v="1"/>
    <n v="18"/>
    <n v="2915.1"/>
    <s v="Medium Risk"/>
    <n v="14.5755"/>
  </r>
  <r>
    <x v="0"/>
    <s v="Monthly"/>
    <s v="Finance"/>
    <s v="11-01"/>
    <n v="24"/>
    <n v="351.55"/>
    <s v="Direct Sales"/>
    <s v="North America"/>
    <d v="2022-02-21T00:00:00"/>
    <s v="Yes"/>
    <d v="2022-08-11T00:00:00"/>
    <s v="Switched Competitor"/>
    <n v="8"/>
    <n v="1"/>
    <n v="35"/>
    <s v="No"/>
    <n v="1"/>
    <n v="5"/>
    <n v="1757.75"/>
    <s v="Medium Risk"/>
    <n v="8.7887500000000003"/>
  </r>
  <r>
    <x v="2"/>
    <s v="Monthly"/>
    <s v="Finance"/>
    <s v="51-200"/>
    <n v="51"/>
    <n v="1691.5"/>
    <s v="Referral"/>
    <s v="North America"/>
    <d v="2025-08-22T00:00:00"/>
    <s v="Yes"/>
    <d v="2025-11-14T00:00:00"/>
    <s v="Switched Competitor"/>
    <n v="1"/>
    <n v="4"/>
    <n v="25"/>
    <s v="No"/>
    <n v="1"/>
    <n v="2"/>
    <n v="3383"/>
    <s v="High Risk"/>
    <n v="16.914999999999999"/>
  </r>
  <r>
    <x v="1"/>
    <s v="Monthly"/>
    <s v="Manufacturing"/>
    <s v="201-500"/>
    <n v="34"/>
    <n v="172.55"/>
    <s v="Referral"/>
    <s v="Europe"/>
    <d v="2022-10-12T00:00:00"/>
    <s v="Yes"/>
    <d v="2022-10-29T00:00:00"/>
    <s v="Budget Cuts"/>
    <n v="6"/>
    <n v="4"/>
    <n v="12"/>
    <s v="No"/>
    <n v="1"/>
    <n v="0"/>
    <n v="0"/>
    <s v="High Risk"/>
    <n v="0"/>
  </r>
  <r>
    <x v="1"/>
    <s v="Monthly"/>
    <s v="Education"/>
    <s v="201-500"/>
    <n v="146"/>
    <n v="659.75"/>
    <s v="Partner"/>
    <s v="North America"/>
    <d v="2023-10-19T00:00:00"/>
    <s v="Yes"/>
    <d v="2023-11-10T00:00:00"/>
    <s v="Price Too High"/>
    <n v="8"/>
    <n v="3"/>
    <n v="13"/>
    <s v="No"/>
    <n v="1"/>
    <n v="0"/>
    <n v="0"/>
    <s v="High Risk"/>
    <n v="0"/>
  </r>
  <r>
    <x v="2"/>
    <s v="Monthly"/>
    <s v="Technology"/>
    <s v="51-200"/>
    <n v="36"/>
    <n v="1243.75"/>
    <s v="Paid Ads"/>
    <s v="North America"/>
    <d v="2024-12-19T00:00:00"/>
    <s v="No"/>
    <m/>
    <m/>
    <n v="6"/>
    <n v="10"/>
    <n v="82"/>
    <s v="No"/>
    <n v="0"/>
    <n v="16"/>
    <n v="19900"/>
    <s v="Low Risk"/>
    <n v="99.5"/>
  </r>
  <r>
    <x v="1"/>
    <s v="Monthly"/>
    <s v="Education"/>
    <s v="51-200"/>
    <n v="70"/>
    <n v="329.15"/>
    <s v="Direct Sales"/>
    <s v="Latin America"/>
    <d v="2023-06-28T00:00:00"/>
    <s v="Yes"/>
    <d v="2024-08-27T00:00:00"/>
    <s v="Budget Cuts"/>
    <n v="15"/>
    <n v="2"/>
    <n v="11"/>
    <s v="No"/>
    <n v="1"/>
    <n v="13"/>
    <n v="4278.95"/>
    <s v="High Risk"/>
    <n v="21.394749999999998"/>
  </r>
  <r>
    <x v="2"/>
    <s v="Monthly"/>
    <s v="Retail"/>
    <s v="11-01"/>
    <n v="13"/>
    <n v="557.20000000000005"/>
    <s v="Organic Search"/>
    <s v="North America"/>
    <d v="2022-04-29T00:00:00"/>
    <s v="Yes"/>
    <d v="2022-07-15T00:00:00"/>
    <s v="Price Too High"/>
    <n v="6"/>
    <n v="6"/>
    <n v="43"/>
    <s v="No"/>
    <n v="1"/>
    <n v="2"/>
    <n v="1114.4000000000001"/>
    <s v="Medium Risk"/>
    <n v="5.5720000000000001"/>
  </r>
  <r>
    <x v="1"/>
    <s v="Monthly"/>
    <s v="Manufacturing"/>
    <s v="11-01"/>
    <n v="23"/>
    <n v="124.7"/>
    <s v="Paid Ads"/>
    <s v="Europe"/>
    <d v="2025-06-06T00:00:00"/>
    <s v="No"/>
    <m/>
    <m/>
    <n v="11"/>
    <n v="10"/>
    <n v="44"/>
    <s v="No"/>
    <n v="0"/>
    <n v="10"/>
    <n v="1247"/>
    <s v="Medium Risk"/>
    <n v="6.2350000000000003"/>
  </r>
  <r>
    <x v="0"/>
    <s v="Annual"/>
    <s v="Legal"/>
    <s v="201-500"/>
    <n v="108"/>
    <n v="1144.9100000000001"/>
    <s v="Organic Search"/>
    <s v="North America"/>
    <d v="2024-12-14T00:00:00"/>
    <s v="No"/>
    <m/>
    <m/>
    <n v="3"/>
    <n v="6"/>
    <n v="32"/>
    <s v="Yes"/>
    <n v="0"/>
    <n v="16"/>
    <n v="18318.560000000001"/>
    <s v="Medium Risk"/>
    <n v="91.592800000000011"/>
  </r>
  <r>
    <x v="2"/>
    <s v="Annual"/>
    <s v="Finance"/>
    <s v="11-01"/>
    <n v="19"/>
    <n v="625.86"/>
    <s v="Paid Ads"/>
    <s v="North America"/>
    <d v="2023-04-08T00:00:00"/>
    <s v="No"/>
    <m/>
    <m/>
    <n v="8"/>
    <n v="10"/>
    <n v="53"/>
    <s v="No"/>
    <n v="0"/>
    <n v="36"/>
    <n v="22530.959999999999"/>
    <s v="Medium Risk"/>
    <n v="112.65479999999999"/>
  </r>
  <r>
    <x v="2"/>
    <s v="Annual"/>
    <s v="Consulting"/>
    <s v="11-01"/>
    <n v="22"/>
    <n v="701.97"/>
    <s v="Social Media"/>
    <s v="Latin America"/>
    <d v="2022-01-24T00:00:00"/>
    <s v="Yes"/>
    <d v="2023-12-12T00:00:00"/>
    <s v="Poor Support"/>
    <n v="1"/>
    <n v="5"/>
    <n v="10"/>
    <s v="No"/>
    <n v="1"/>
    <n v="22"/>
    <n v="15443.34"/>
    <s v="High Risk"/>
    <n v="77.216700000000003"/>
  </r>
  <r>
    <x v="0"/>
    <s v="Annual"/>
    <s v="Media"/>
    <s v="11-01"/>
    <n v="29"/>
    <n v="349.18"/>
    <s v="Referral"/>
    <s v="North America"/>
    <d v="2022-12-03T00:00:00"/>
    <s v="Yes"/>
    <d v="2023-02-19T00:00:00"/>
    <s v="No Longer Needed"/>
    <n v="14"/>
    <n v="3"/>
    <n v="32"/>
    <s v="No"/>
    <n v="1"/>
    <n v="2"/>
    <n v="698.36"/>
    <s v="Medium Risk"/>
    <n v="3.4918"/>
  </r>
  <r>
    <x v="2"/>
    <s v="Monthly"/>
    <s v="Manufacturing"/>
    <s v="201-500"/>
    <n v="99"/>
    <n v="3124.3"/>
    <s v="Partner"/>
    <s v="North America"/>
    <d v="2025-02-24T00:00:00"/>
    <s v="No"/>
    <m/>
    <m/>
    <n v="8"/>
    <n v="7"/>
    <n v="17"/>
    <s v="No"/>
    <n v="0"/>
    <n v="14"/>
    <n v="43740.200000000004"/>
    <s v="High Risk"/>
    <n v="218.70100000000002"/>
  </r>
  <r>
    <x v="2"/>
    <s v="Monthly"/>
    <s v="Legal"/>
    <s v="11-01"/>
    <n v="26"/>
    <n v="945.25"/>
    <s v="Organic Search"/>
    <s v="Europe"/>
    <d v="2024-12-15T00:00:00"/>
    <s v="No"/>
    <m/>
    <m/>
    <n v="4"/>
    <n v="6"/>
    <n v="41"/>
    <s v="No"/>
    <n v="0"/>
    <n v="16"/>
    <n v="15124"/>
    <s v="Medium Risk"/>
    <n v="75.62"/>
  </r>
  <r>
    <x v="3"/>
    <s v="Annual"/>
    <s v="Manufacturing"/>
    <s v="51-200"/>
    <n v="50"/>
    <n v="3541.65"/>
    <s v="Organic Search"/>
    <s v="North America"/>
    <d v="2025-02-09T00:00:00"/>
    <s v="No"/>
    <m/>
    <m/>
    <n v="9"/>
    <n v="9"/>
    <n v="36"/>
    <s v="No"/>
    <n v="0"/>
    <n v="14"/>
    <n v="49583.1"/>
    <s v="Medium Risk"/>
    <n v="247.91549999999998"/>
  </r>
  <r>
    <x v="2"/>
    <s v="Annual"/>
    <s v="Consulting"/>
    <s v="11-01"/>
    <n v="21"/>
    <n v="676.6"/>
    <s v="Paid Ads"/>
    <s v="North America"/>
    <d v="2025-09-20T00:00:00"/>
    <s v="No"/>
    <m/>
    <m/>
    <n v="0"/>
    <n v="8"/>
    <n v="91"/>
    <s v="No"/>
    <n v="0"/>
    <n v="7"/>
    <n v="4736.2"/>
    <s v="Low Risk"/>
    <n v="23.680999999999997"/>
  </r>
  <r>
    <x v="1"/>
    <s v="Annual"/>
    <s v="Manufacturing"/>
    <s v="1-10"/>
    <n v="7"/>
    <n v="46.83"/>
    <s v="Paid Ads"/>
    <s v="North America"/>
    <d v="2023-09-03T00:00:00"/>
    <s v="Yes"/>
    <d v="2024-01-09T00:00:00"/>
    <s v="Poor Support"/>
    <n v="5"/>
    <n v="2"/>
    <n v="41"/>
    <s v="No"/>
    <n v="1"/>
    <n v="4"/>
    <n v="187.32"/>
    <s v="Medium Risk"/>
    <n v="0.93659999999999999"/>
  </r>
  <r>
    <x v="1"/>
    <s v="Monthly"/>
    <s v="Legal"/>
    <s v="201-500"/>
    <n v="71"/>
    <n v="333.5"/>
    <s v="Direct Sales"/>
    <s v="Europe"/>
    <d v="2023-07-08T00:00:00"/>
    <s v="Yes"/>
    <d v="2024-02-11T00:00:00"/>
    <s v="No Longer Needed"/>
    <n v="1"/>
    <n v="3"/>
    <n v="14"/>
    <s v="No"/>
    <n v="1"/>
    <n v="7"/>
    <n v="2334.5"/>
    <s v="High Risk"/>
    <n v="11.672499999999999"/>
  </r>
  <r>
    <x v="0"/>
    <s v="Annual"/>
    <s v="Finance"/>
    <s v="500+"/>
    <n v="290"/>
    <n v="2978.1"/>
    <s v="Referral"/>
    <s v="North America"/>
    <d v="2024-02-15T00:00:00"/>
    <s v="No"/>
    <m/>
    <m/>
    <n v="9"/>
    <n v="9"/>
    <n v="39"/>
    <s v="No"/>
    <n v="0"/>
    <n v="26"/>
    <n v="77430.599999999991"/>
    <s v="Medium Risk"/>
    <n v="387.15299999999996"/>
  </r>
  <r>
    <x v="1"/>
    <s v="Annual"/>
    <s v="Real Estate"/>
    <s v="201-500"/>
    <n v="36"/>
    <n v="154.06"/>
    <s v="Partner"/>
    <s v="Asia Pacific"/>
    <d v="2024-03-06T00:00:00"/>
    <s v="Yes"/>
    <d v="2024-09-01T00:00:00"/>
    <s v="Switched Competitor"/>
    <n v="4"/>
    <n v="5"/>
    <n v="42"/>
    <s v="No"/>
    <n v="1"/>
    <n v="5"/>
    <n v="770.3"/>
    <s v="Medium Risk"/>
    <n v="3.8514999999999997"/>
  </r>
  <r>
    <x v="1"/>
    <s v="Monthly"/>
    <s v="Education"/>
    <s v="51-200"/>
    <n v="74"/>
    <n v="346.55"/>
    <s v="Organic Search"/>
    <s v="Europe"/>
    <d v="2025-01-22T00:00:00"/>
    <s v="No"/>
    <m/>
    <m/>
    <n v="3"/>
    <n v="4"/>
    <n v="18"/>
    <s v="No"/>
    <n v="0"/>
    <n v="15"/>
    <n v="5198.25"/>
    <s v="High Risk"/>
    <n v="25.991250000000001"/>
  </r>
  <r>
    <x v="1"/>
    <s v="Annual"/>
    <s v="Media"/>
    <s v="1-10"/>
    <n v="8"/>
    <n v="50.53"/>
    <s v="Referral"/>
    <s v="Latin America"/>
    <d v="2024-10-07T00:00:00"/>
    <s v="No"/>
    <m/>
    <m/>
    <n v="3"/>
    <n v="2"/>
    <n v="22"/>
    <s v="No"/>
    <n v="0"/>
    <n v="18"/>
    <n v="909.54"/>
    <s v="High Risk"/>
    <n v="4.5476999999999999"/>
  </r>
  <r>
    <x v="1"/>
    <s v="Monthly"/>
    <s v="Education"/>
    <s v="11-01"/>
    <n v="13"/>
    <n v="81.2"/>
    <s v="Paid Ads"/>
    <s v="Europe"/>
    <d v="2025-03-23T00:00:00"/>
    <s v="Yes"/>
    <d v="2025-09-20T00:00:00"/>
    <s v="Company Closed"/>
    <n v="12"/>
    <n v="3"/>
    <n v="29"/>
    <s v="No"/>
    <n v="1"/>
    <n v="5"/>
    <n v="406"/>
    <s v="High Risk"/>
    <n v="2.0299999999999998"/>
  </r>
  <r>
    <x v="0"/>
    <s v="Annual"/>
    <s v="Finance"/>
    <s v="11-01"/>
    <n v="33"/>
    <n v="389.47"/>
    <s v="Partner"/>
    <s v="Latin America"/>
    <d v="2022-10-01T00:00:00"/>
    <s v="Yes"/>
    <d v="2025-09-06T00:00:00"/>
    <s v="Poor Support"/>
    <n v="11"/>
    <n v="6"/>
    <n v="37"/>
    <s v="No"/>
    <n v="1"/>
    <n v="35"/>
    <n v="13631.45"/>
    <s v="Medium Risk"/>
    <n v="68.157250000000005"/>
  </r>
  <r>
    <x v="1"/>
    <s v="Monthly"/>
    <s v="Finance"/>
    <s v="11-01"/>
    <n v="31"/>
    <n v="159.5"/>
    <s v="Partner"/>
    <s v="North America"/>
    <d v="2024-12-09T00:00:00"/>
    <s v="Yes"/>
    <d v="2025-04-11T00:00:00"/>
    <s v="Price Too High"/>
    <n v="6"/>
    <n v="3"/>
    <n v="26"/>
    <s v="No"/>
    <n v="1"/>
    <n v="4"/>
    <n v="638"/>
    <s v="High Risk"/>
    <n v="3.19"/>
  </r>
  <r>
    <x v="1"/>
    <s v="Monthly"/>
    <s v="Retail"/>
    <s v="1-10"/>
    <n v="1"/>
    <n v="29"/>
    <s v="Social Media"/>
    <s v="Latin America"/>
    <d v="2025-02-06T00:00:00"/>
    <s v="Yes"/>
    <d v="2025-10-26T00:00:00"/>
    <s v="Company Closed"/>
    <n v="12"/>
    <n v="3"/>
    <n v="30"/>
    <s v="No"/>
    <n v="1"/>
    <n v="8"/>
    <n v="232"/>
    <s v="Medium Risk"/>
    <n v="1.1599999999999999"/>
  </r>
  <r>
    <x v="1"/>
    <s v="Annual"/>
    <s v="Legal"/>
    <s v="51-200"/>
    <n v="40"/>
    <n v="168.85"/>
    <s v="Organic Search"/>
    <s v="Europe"/>
    <d v="2022-07-16T00:00:00"/>
    <s v="Yes"/>
    <d v="2022-10-13T00:00:00"/>
    <s v="Switched Competitor"/>
    <n v="14"/>
    <n v="4"/>
    <n v="38"/>
    <s v="No"/>
    <n v="1"/>
    <n v="2"/>
    <n v="337.7"/>
    <s v="Medium Risk"/>
    <n v="1.6884999999999999"/>
  </r>
  <r>
    <x v="0"/>
    <s v="Annual"/>
    <s v="Legal"/>
    <s v="51-200"/>
    <n v="20"/>
    <n v="258.52999999999997"/>
    <s v="Organic Search"/>
    <s v="Europe"/>
    <d v="2023-12-19T00:00:00"/>
    <s v="No"/>
    <m/>
    <m/>
    <n v="10"/>
    <n v="9"/>
    <n v="34"/>
    <s v="No"/>
    <n v="0"/>
    <n v="28"/>
    <n v="7238.8399999999992"/>
    <s v="Medium Risk"/>
    <n v="36.194199999999995"/>
  </r>
  <r>
    <x v="0"/>
    <s v="Monthly"/>
    <s v="Education"/>
    <s v="1-10"/>
    <n v="2"/>
    <n v="90.85"/>
    <s v="Organic Search"/>
    <s v="North America"/>
    <d v="2025-03-11T00:00:00"/>
    <s v="Yes"/>
    <d v="2025-04-30T00:00:00"/>
    <s v="Company Closed"/>
    <n v="8"/>
    <n v="3"/>
    <n v="15"/>
    <s v="No"/>
    <n v="1"/>
    <n v="1"/>
    <n v="90.85"/>
    <s v="High Risk"/>
    <n v="0.45424999999999999"/>
  </r>
  <r>
    <x v="0"/>
    <s v="Annual"/>
    <s v="Consulting"/>
    <s v="51-200"/>
    <n v="34"/>
    <n v="399.54"/>
    <s v="Social Media"/>
    <s v="North America"/>
    <d v="2024-10-14T00:00:00"/>
    <s v="Yes"/>
    <d v="2024-12-11T00:00:00"/>
    <s v="Missing Features"/>
    <n v="11"/>
    <n v="6"/>
    <n v="12"/>
    <s v="No"/>
    <n v="1"/>
    <n v="1"/>
    <n v="399.54"/>
    <s v="High Risk"/>
    <n v="1.9977"/>
  </r>
  <r>
    <x v="2"/>
    <s v="Monthly"/>
    <s v="Media"/>
    <s v="1-10"/>
    <n v="7"/>
    <n v="378.1"/>
    <s v="Partner"/>
    <s v="Asia Pacific"/>
    <d v="2023-10-18T00:00:00"/>
    <s v="No"/>
    <m/>
    <m/>
    <n v="5"/>
    <n v="9"/>
    <n v="55"/>
    <s v="No"/>
    <n v="0"/>
    <n v="30"/>
    <n v="11343"/>
    <s v="Medium Risk"/>
    <n v="56.715000000000003"/>
  </r>
  <r>
    <x v="1"/>
    <s v="Annual"/>
    <s v="Consulting"/>
    <s v="51-200"/>
    <n v="24"/>
    <n v="109.69"/>
    <s v="Organic Search"/>
    <s v="North America"/>
    <d v="2025-11-12T00:00:00"/>
    <s v="No"/>
    <m/>
    <m/>
    <n v="7"/>
    <n v="2"/>
    <n v="90"/>
    <s v="No"/>
    <n v="0"/>
    <n v="5"/>
    <n v="548.45000000000005"/>
    <s v="Low Risk"/>
    <n v="2.7422500000000003"/>
  </r>
  <r>
    <x v="0"/>
    <s v="Annual"/>
    <s v="Technology"/>
    <s v="201-500"/>
    <n v="105"/>
    <n v="1114.69"/>
    <s v="Paid Ads"/>
    <s v="Europe"/>
    <d v="2022-03-28T00:00:00"/>
    <s v="Yes"/>
    <d v="2023-09-25T00:00:00"/>
    <s v="Budget Cuts"/>
    <n v="2"/>
    <n v="1"/>
    <n v="15"/>
    <s v="No"/>
    <n v="1"/>
    <n v="17"/>
    <n v="18949.73"/>
    <s v="High Risk"/>
    <n v="94.748649999999998"/>
  </r>
  <r>
    <x v="2"/>
    <s v="Annual"/>
    <s v="Education"/>
    <s v="11-01"/>
    <n v="10"/>
    <n v="397.5"/>
    <s v="Partner"/>
    <s v="North America"/>
    <d v="2025-01-19T00:00:00"/>
    <s v="No"/>
    <m/>
    <m/>
    <n v="6"/>
    <n v="9"/>
    <n v="77"/>
    <s v="Yes"/>
    <n v="0"/>
    <n v="15"/>
    <n v="5962.5"/>
    <s v="Low Risk"/>
    <n v="29.8125"/>
  </r>
  <r>
    <x v="0"/>
    <s v="Monthly"/>
    <s v="Consulting"/>
    <s v="11-01"/>
    <n v="15"/>
    <n v="244.9"/>
    <s v="Partner"/>
    <s v="Asia Pacific"/>
    <d v="2022-05-04T00:00:00"/>
    <s v="Yes"/>
    <d v="2022-06-25T00:00:00"/>
    <s v="Company Closed"/>
    <n v="14"/>
    <n v="1"/>
    <n v="15"/>
    <s v="No"/>
    <n v="1"/>
    <n v="1"/>
    <n v="244.9"/>
    <s v="High Risk"/>
    <n v="1.2244999999999999"/>
  </r>
  <r>
    <x v="0"/>
    <s v="Monthly"/>
    <s v="Technology"/>
    <s v="11-01"/>
    <n v="13"/>
    <n v="221.2"/>
    <s v="Paid Ads"/>
    <s v="Europe"/>
    <d v="2024-08-30T00:00:00"/>
    <s v="No"/>
    <m/>
    <m/>
    <n v="2"/>
    <n v="4"/>
    <n v="71"/>
    <s v="No"/>
    <n v="0"/>
    <n v="20"/>
    <n v="4424"/>
    <s v="Low Risk"/>
    <n v="22.12"/>
  </r>
  <r>
    <x v="1"/>
    <s v="Monthly"/>
    <s v="Legal"/>
    <s v="500+"/>
    <n v="297"/>
    <n v="1316.6"/>
    <s v="Partner"/>
    <s v="Latin America"/>
    <d v="2025-12-11T00:00:00"/>
    <s v="No"/>
    <m/>
    <m/>
    <n v="7"/>
    <n v="4"/>
    <n v="44"/>
    <s v="No"/>
    <n v="0"/>
    <n v="4"/>
    <n v="5266.4"/>
    <s v="Medium Risk"/>
    <n v="26.331999999999997"/>
  </r>
  <r>
    <x v="0"/>
    <s v="Monthly"/>
    <s v="Retail"/>
    <s v="51-200"/>
    <n v="51"/>
    <n v="671.5"/>
    <s v="Direct Sales"/>
    <s v="Asia Pacific"/>
    <d v="2024-03-17T00:00:00"/>
    <s v="No"/>
    <m/>
    <m/>
    <n v="7"/>
    <n v="4"/>
    <n v="84"/>
    <s v="No"/>
    <n v="0"/>
    <n v="25"/>
    <n v="16787.5"/>
    <s v="Low Risk"/>
    <n v="83.9375"/>
  </r>
  <r>
    <x v="0"/>
    <s v="Monthly"/>
    <s v="Education"/>
    <s v="51-200"/>
    <n v="30"/>
    <n v="422.65"/>
    <s v="Social Media"/>
    <s v="North America"/>
    <d v="2025-06-13T00:00:00"/>
    <s v="No"/>
    <m/>
    <m/>
    <n v="11"/>
    <n v="5"/>
    <n v="60"/>
    <s v="No"/>
    <n v="0"/>
    <n v="10"/>
    <n v="4226.5"/>
    <s v="Low Risk"/>
    <n v="21.1325"/>
  </r>
  <r>
    <x v="0"/>
    <s v="Monthly"/>
    <s v="Finance"/>
    <s v="51-200"/>
    <n v="77"/>
    <n v="979.6"/>
    <s v="Paid Ads"/>
    <s v="North America"/>
    <d v="2025-03-08T00:00:00"/>
    <s v="Yes"/>
    <d v="2025-06-10T00:00:00"/>
    <s v="Budget Cuts"/>
    <n v="3"/>
    <n v="2"/>
    <n v="40"/>
    <s v="No"/>
    <n v="1"/>
    <n v="3"/>
    <n v="2938.8"/>
    <s v="Medium Risk"/>
    <n v="14.694000000000001"/>
  </r>
  <r>
    <x v="0"/>
    <s v="Annual"/>
    <s v="Education"/>
    <s v="51-200"/>
    <n v="18"/>
    <n v="238.38"/>
    <s v="Partner"/>
    <s v="Asia Pacific"/>
    <d v="2024-04-05T00:00:00"/>
    <s v="Yes"/>
    <d v="2025-10-06T00:00:00"/>
    <s v="Missing Features"/>
    <n v="14"/>
    <n v="1"/>
    <n v="33"/>
    <s v="No"/>
    <n v="1"/>
    <n v="18"/>
    <n v="4290.84"/>
    <s v="Medium Risk"/>
    <n v="21.4542"/>
  </r>
  <r>
    <x v="1"/>
    <s v="Annual"/>
    <s v="Finance"/>
    <s v="201-500"/>
    <n v="85"/>
    <n v="335.24"/>
    <s v="Organic Search"/>
    <s v="Europe"/>
    <d v="2023-10-13T00:00:00"/>
    <s v="Yes"/>
    <d v="2024-01-22T00:00:00"/>
    <s v="Budget Cuts"/>
    <n v="8"/>
    <n v="1"/>
    <n v="35"/>
    <s v="No"/>
    <n v="1"/>
    <n v="3"/>
    <n v="1005.72"/>
    <s v="Medium Risk"/>
    <n v="5.0286"/>
  </r>
  <r>
    <x v="0"/>
    <s v="Monthly"/>
    <s v="Consulting"/>
    <s v="11-01"/>
    <n v="18"/>
    <n v="280.45"/>
    <s v="Social Media"/>
    <s v="North America"/>
    <d v="2022-09-07T00:00:00"/>
    <s v="Yes"/>
    <d v="2024-03-13T00:00:00"/>
    <s v="No Longer Needed"/>
    <n v="10"/>
    <n v="1"/>
    <n v="27"/>
    <s v="No"/>
    <n v="1"/>
    <n v="18"/>
    <n v="5048.0999999999995"/>
    <s v="High Risk"/>
    <n v="25.240499999999997"/>
  </r>
  <r>
    <x v="2"/>
    <s v="Annual"/>
    <s v="Education"/>
    <s v="1-10"/>
    <n v="5"/>
    <n v="270.64"/>
    <s v="Organic Search"/>
    <s v="Europe"/>
    <d v="2023-07-14T00:00:00"/>
    <s v="Yes"/>
    <d v="2025-02-15T00:00:00"/>
    <s v="Company Closed"/>
    <n v="7"/>
    <n v="1"/>
    <n v="36"/>
    <s v="No"/>
    <n v="1"/>
    <n v="19"/>
    <n v="5142.16"/>
    <s v="Medium Risk"/>
    <n v="25.710799999999999"/>
  </r>
  <r>
    <x v="1"/>
    <s v="Monthly"/>
    <s v="Media"/>
    <s v="51-200"/>
    <n v="65"/>
    <n v="307.39999999999998"/>
    <s v="Paid Ads"/>
    <s v="Latin America"/>
    <d v="2022-11-22T00:00:00"/>
    <s v="Yes"/>
    <d v="2023-03-19T00:00:00"/>
    <s v="Price Too High"/>
    <n v="3"/>
    <n v="1"/>
    <n v="45"/>
    <s v="No"/>
    <n v="1"/>
    <n v="3"/>
    <n v="922.19999999999993"/>
    <s v="Medium Risk"/>
    <n v="4.6109999999999998"/>
  </r>
  <r>
    <x v="1"/>
    <s v="Annual"/>
    <s v="Technology"/>
    <s v="11-01"/>
    <n v="26"/>
    <n v="117.09"/>
    <s v="Partner"/>
    <s v="North America"/>
    <d v="2024-01-29T00:00:00"/>
    <s v="No"/>
    <m/>
    <m/>
    <n v="4"/>
    <n v="8"/>
    <n v="42"/>
    <s v="Yes"/>
    <n v="0"/>
    <n v="27"/>
    <n v="3161.4300000000003"/>
    <s v="Medium Risk"/>
    <n v="15.807150000000002"/>
  </r>
  <r>
    <x v="1"/>
    <s v="Monthly"/>
    <s v="Media"/>
    <s v="1-10"/>
    <n v="4"/>
    <n v="42.05"/>
    <s v="Organic Search"/>
    <s v="North America"/>
    <d v="2024-05-28T00:00:00"/>
    <s v="Yes"/>
    <d v="2025-01-20T00:00:00"/>
    <s v="Price Too High"/>
    <n v="0"/>
    <n v="4"/>
    <n v="13"/>
    <s v="No"/>
    <n v="1"/>
    <n v="7"/>
    <n v="294.34999999999997"/>
    <s v="High Risk"/>
    <n v="1.4717499999999999"/>
  </r>
  <r>
    <x v="1"/>
    <s v="Annual"/>
    <s v="Education"/>
    <s v="201-500"/>
    <n v="140"/>
    <n v="538.6"/>
    <s v="Organic Search"/>
    <s v="Europe"/>
    <d v="2022-06-30T00:00:00"/>
    <s v="Yes"/>
    <d v="2022-10-01T00:00:00"/>
    <s v="Budget Cuts"/>
    <n v="14"/>
    <n v="2"/>
    <n v="43"/>
    <s v="No"/>
    <n v="1"/>
    <n v="3"/>
    <n v="1615.8000000000002"/>
    <s v="Medium Risk"/>
    <n v="8.0790000000000006"/>
  </r>
  <r>
    <x v="1"/>
    <s v="Monthly"/>
    <s v="Real Estate"/>
    <s v="201-500"/>
    <n v="41"/>
    <n v="203"/>
    <s v="Paid Ads"/>
    <s v="North America"/>
    <d v="2025-03-19T00:00:00"/>
    <s v="Yes"/>
    <d v="2025-06-24T00:00:00"/>
    <s v="No Longer Needed"/>
    <n v="12"/>
    <n v="1"/>
    <n v="40"/>
    <s v="No"/>
    <n v="1"/>
    <n v="3"/>
    <n v="609"/>
    <s v="Medium Risk"/>
    <n v="3.0449999999999999"/>
  </r>
  <r>
    <x v="1"/>
    <s v="Annual"/>
    <s v="Retail"/>
    <s v="201-500"/>
    <n v="78"/>
    <n v="309.36"/>
    <s v="Paid Ads"/>
    <s v="Europe"/>
    <d v="2024-08-15T00:00:00"/>
    <s v="Yes"/>
    <d v="2025-08-15T00:00:00"/>
    <s v="Switched Competitor"/>
    <n v="3"/>
    <n v="1"/>
    <n v="35"/>
    <s v="No"/>
    <n v="1"/>
    <n v="12"/>
    <n v="3712.32"/>
    <s v="Medium Risk"/>
    <n v="18.561600000000002"/>
  </r>
  <r>
    <x v="2"/>
    <s v="Annual"/>
    <s v="Legal"/>
    <s v="11-01"/>
    <n v="12"/>
    <n v="448.25"/>
    <s v="Referral"/>
    <s v="Latin America"/>
    <d v="2023-05-23T00:00:00"/>
    <s v="Yes"/>
    <d v="2025-04-18T00:00:00"/>
    <s v="No Longer Needed"/>
    <n v="12"/>
    <n v="6"/>
    <n v="19"/>
    <s v="No"/>
    <n v="1"/>
    <n v="22"/>
    <n v="9861.5"/>
    <s v="High Risk"/>
    <n v="49.307499999999997"/>
  </r>
  <r>
    <x v="0"/>
    <s v="Monthly"/>
    <s v="Retail"/>
    <s v="11-01"/>
    <n v="32"/>
    <n v="446.35"/>
    <s v="Referral"/>
    <s v="Asia Pacific"/>
    <d v="2022-05-22T00:00:00"/>
    <s v="Yes"/>
    <d v="2023-06-15T00:00:00"/>
    <s v="Company Closed"/>
    <n v="3"/>
    <n v="3"/>
    <n v="29"/>
    <s v="No"/>
    <n v="1"/>
    <n v="12"/>
    <n v="5356.2000000000007"/>
    <s v="High Risk"/>
    <n v="26.781000000000002"/>
  </r>
  <r>
    <x v="2"/>
    <s v="Annual"/>
    <s v="Education"/>
    <s v="1-10"/>
    <n v="4"/>
    <n v="245.27"/>
    <s v="Paid Ads"/>
    <s v="Europe"/>
    <d v="2022-09-26T00:00:00"/>
    <s v="No"/>
    <m/>
    <m/>
    <n v="4"/>
    <n v="2"/>
    <n v="93"/>
    <s v="No"/>
    <n v="0"/>
    <n v="43"/>
    <n v="10546.61"/>
    <s v="Low Risk"/>
    <n v="52.733050000000006"/>
  </r>
  <r>
    <x v="2"/>
    <s v="Monthly"/>
    <s v="Education"/>
    <s v="201-500"/>
    <n v="126"/>
    <n v="3930.25"/>
    <s v="Paid Ads"/>
    <s v="North America"/>
    <d v="2025-11-18T00:00:00"/>
    <s v="No"/>
    <m/>
    <m/>
    <n v="9"/>
    <n v="8"/>
    <n v="20"/>
    <s v="No"/>
    <n v="0"/>
    <n v="5"/>
    <n v="19651.25"/>
    <s v="High Risk"/>
    <n v="98.256249999999994"/>
  </r>
  <r>
    <x v="0"/>
    <s v="Annual"/>
    <s v="Media"/>
    <s v="51-200"/>
    <n v="17"/>
    <n v="228.31"/>
    <s v="Organic Search"/>
    <s v="Europe"/>
    <d v="2025-09-25T00:00:00"/>
    <s v="No"/>
    <m/>
    <m/>
    <n v="5"/>
    <n v="4"/>
    <n v="21"/>
    <s v="No"/>
    <n v="0"/>
    <n v="7"/>
    <n v="1598.17"/>
    <s v="High Risk"/>
    <n v="7.99085"/>
  </r>
  <r>
    <x v="2"/>
    <s v="Monthly"/>
    <s v="Technology"/>
    <s v="51-200"/>
    <n v="73"/>
    <n v="2348.1999999999998"/>
    <s v="Organic Search"/>
    <s v="Asia Pacific"/>
    <d v="2025-06-05T00:00:00"/>
    <s v="No"/>
    <m/>
    <m/>
    <n v="9"/>
    <n v="5"/>
    <n v="74"/>
    <s v="No"/>
    <n v="0"/>
    <n v="10"/>
    <n v="23482"/>
    <s v="Low Risk"/>
    <n v="117.41"/>
  </r>
  <r>
    <x v="2"/>
    <s v="Annual"/>
    <s v="Legal"/>
    <s v="11-01"/>
    <n v="29"/>
    <n v="879.58"/>
    <s v="Paid Ads"/>
    <s v="North America"/>
    <d v="2024-06-14T00:00:00"/>
    <s v="No"/>
    <m/>
    <m/>
    <n v="7"/>
    <n v="10"/>
    <n v="33"/>
    <s v="No"/>
    <n v="0"/>
    <n v="22"/>
    <n v="19350.760000000002"/>
    <s v="Medium Risk"/>
    <n v="96.753800000000012"/>
  </r>
  <r>
    <x v="0"/>
    <s v="Monthly"/>
    <s v="Media"/>
    <s v="51-200"/>
    <n v="59"/>
    <n v="766.3"/>
    <s v="Social Media"/>
    <s v="North America"/>
    <d v="2022-02-27T00:00:00"/>
    <s v="Yes"/>
    <d v="2022-10-03T00:00:00"/>
    <s v="Switched Competitor"/>
    <n v="6"/>
    <n v="2"/>
    <n v="21"/>
    <s v="No"/>
    <n v="1"/>
    <n v="7"/>
    <n v="5364.0999999999995"/>
    <s v="High Risk"/>
    <n v="26.820499999999996"/>
  </r>
  <r>
    <x v="1"/>
    <s v="Annual"/>
    <s v="Retail"/>
    <s v="1-10"/>
    <n v="4"/>
    <n v="35.74"/>
    <s v="Paid Ads"/>
    <s v="North America"/>
    <d v="2024-07-21T00:00:00"/>
    <s v="Yes"/>
    <d v="2024-12-03T00:00:00"/>
    <s v="Missing Features"/>
    <n v="8"/>
    <n v="6"/>
    <n v="47"/>
    <s v="No"/>
    <n v="1"/>
    <n v="4"/>
    <n v="142.96"/>
    <s v="Medium Risk"/>
    <n v="0.71479999999999999"/>
  </r>
  <r>
    <x v="1"/>
    <s v="Monthly"/>
    <s v="Education"/>
    <s v="500+"/>
    <n v="130"/>
    <n v="590.15"/>
    <s v="Partner"/>
    <s v="Europe"/>
    <d v="2023-07-18T00:00:00"/>
    <s v="Yes"/>
    <d v="2024-05-11T00:00:00"/>
    <s v="Budget Cuts"/>
    <n v="5"/>
    <n v="4"/>
    <n v="23"/>
    <s v="No"/>
    <n v="1"/>
    <n v="9"/>
    <n v="5311.3499999999995"/>
    <s v="High Risk"/>
    <n v="26.556749999999997"/>
  </r>
  <r>
    <x v="2"/>
    <s v="Annual"/>
    <s v="Healthcare"/>
    <s v="201-500"/>
    <n v="61"/>
    <n v="1691.5"/>
    <s v="Social Media"/>
    <s v="Europe"/>
    <d v="2025-04-02T00:00:00"/>
    <s v="Yes"/>
    <d v="2025-05-16T00:00:00"/>
    <s v="Missing Features"/>
    <n v="15"/>
    <n v="5"/>
    <n v="33"/>
    <s v="No"/>
    <n v="1"/>
    <n v="1"/>
    <n v="1691.5"/>
    <s v="Medium Risk"/>
    <n v="8.4574999999999996"/>
  </r>
  <r>
    <x v="2"/>
    <s v="Annual"/>
    <s v="Finance"/>
    <s v="1-10"/>
    <n v="8"/>
    <n v="346.76"/>
    <s v="Partner"/>
    <s v="North America"/>
    <d v="2022-06-25T00:00:00"/>
    <s v="Yes"/>
    <d v="2024-12-29T00:00:00"/>
    <s v="Poor Support"/>
    <n v="10"/>
    <n v="6"/>
    <n v="30"/>
    <s v="No"/>
    <n v="1"/>
    <n v="30"/>
    <n v="10402.799999999999"/>
    <s v="Medium Risk"/>
    <n v="52.013999999999996"/>
  </r>
  <r>
    <x v="1"/>
    <s v="Annual"/>
    <s v="Healthcare"/>
    <s v="51-200"/>
    <n v="43"/>
    <n v="179.94"/>
    <s v="Organic Search"/>
    <s v="North America"/>
    <d v="2024-10-27T00:00:00"/>
    <s v="No"/>
    <m/>
    <m/>
    <n v="3"/>
    <n v="3"/>
    <n v="63"/>
    <s v="No"/>
    <n v="0"/>
    <n v="18"/>
    <n v="3238.92"/>
    <s v="Low Risk"/>
    <n v="16.194600000000001"/>
  </r>
  <r>
    <x v="1"/>
    <s v="Annual"/>
    <s v="Media"/>
    <s v="11-01"/>
    <n v="6"/>
    <n v="43.14"/>
    <s v="Organic Search"/>
    <s v="North America"/>
    <d v="2022-09-13T00:00:00"/>
    <s v="Yes"/>
    <d v="2022-11-05T00:00:00"/>
    <s v="Poor Support"/>
    <n v="15"/>
    <n v="3"/>
    <n v="46"/>
    <s v="No"/>
    <n v="1"/>
    <n v="1"/>
    <n v="43.14"/>
    <s v="Medium Risk"/>
    <n v="0.2157"/>
  </r>
  <r>
    <x v="1"/>
    <s v="Annual"/>
    <s v="Healthcare"/>
    <s v="201-500"/>
    <n v="92"/>
    <n v="361.12"/>
    <s v="Organic Search"/>
    <s v="North America"/>
    <d v="2023-01-23T00:00:00"/>
    <s v="Yes"/>
    <d v="2023-06-03T00:00:00"/>
    <s v="Missing Features"/>
    <n v="13"/>
    <n v="1"/>
    <n v="38"/>
    <s v="No"/>
    <n v="1"/>
    <n v="4"/>
    <n v="1444.48"/>
    <s v="Medium Risk"/>
    <n v="7.2224000000000004"/>
  </r>
  <r>
    <x v="1"/>
    <s v="Annual"/>
    <s v="Consulting"/>
    <s v="51-200"/>
    <n v="30"/>
    <n v="131.88"/>
    <s v="Referral"/>
    <s v="Europe"/>
    <d v="2025-02-24T00:00:00"/>
    <s v="No"/>
    <m/>
    <m/>
    <n v="1"/>
    <n v="7"/>
    <n v="39"/>
    <s v="No"/>
    <n v="0"/>
    <n v="14"/>
    <n v="1846.32"/>
    <s v="Medium Risk"/>
    <n v="9.2316000000000003"/>
  </r>
  <r>
    <x v="2"/>
    <s v="Monthly"/>
    <s v="Healthcare"/>
    <s v="201-500"/>
    <n v="118"/>
    <n v="3691.45"/>
    <s v="Direct Sales"/>
    <s v="Asia Pacific"/>
    <d v="2025-07-03T00:00:00"/>
    <s v="No"/>
    <m/>
    <m/>
    <n v="10"/>
    <n v="5"/>
    <n v="87"/>
    <s v="No"/>
    <n v="0"/>
    <n v="9"/>
    <n v="33223.049999999996"/>
    <s v="Low Risk"/>
    <n v="166.11524999999997"/>
  </r>
  <r>
    <x v="1"/>
    <s v="Annual"/>
    <s v="Consulting"/>
    <s v="1-10"/>
    <n v="2"/>
    <n v="28.35"/>
    <s v="Social Media"/>
    <s v="Europe"/>
    <d v="2022-08-07T00:00:00"/>
    <s v="No"/>
    <m/>
    <m/>
    <n v="11"/>
    <n v="6"/>
    <n v="20"/>
    <s v="No"/>
    <n v="0"/>
    <n v="44"/>
    <n v="1247.4000000000001"/>
    <s v="High Risk"/>
    <n v="6.2370000000000001"/>
  </r>
  <r>
    <x v="0"/>
    <s v="Annual"/>
    <s v="Retail"/>
    <s v="1-10"/>
    <n v="7"/>
    <n v="127.59"/>
    <s v="Paid Ads"/>
    <s v="Europe"/>
    <d v="2024-06-08T00:00:00"/>
    <s v="No"/>
    <m/>
    <m/>
    <n v="12"/>
    <n v="7"/>
    <n v="31"/>
    <s v="No"/>
    <n v="0"/>
    <n v="22"/>
    <n v="2806.98"/>
    <s v="Medium Risk"/>
    <n v="14.0349"/>
  </r>
  <r>
    <x v="3"/>
    <s v="Monthly"/>
    <s v="Healthcare"/>
    <s v="51-200"/>
    <n v="59"/>
    <n v="4840.3"/>
    <s v="Organic Search"/>
    <s v="North America"/>
    <d v="2023-09-21T00:00:00"/>
    <s v="No"/>
    <m/>
    <m/>
    <n v="0"/>
    <n v="3"/>
    <n v="90"/>
    <s v="No"/>
    <n v="0"/>
    <n v="31"/>
    <n v="150049.30000000002"/>
    <s v="Low Risk"/>
    <n v="750.24650000000008"/>
  </r>
  <r>
    <x v="3"/>
    <s v="Monthly"/>
    <s v="Technology"/>
    <s v="1-10"/>
    <n v="7"/>
    <n v="948.1"/>
    <s v="Social Media"/>
    <s v="North America"/>
    <d v="2024-03-06T00:00:00"/>
    <s v="No"/>
    <m/>
    <m/>
    <n v="2"/>
    <n v="6"/>
    <n v="41"/>
    <s v="No"/>
    <n v="0"/>
    <n v="25"/>
    <n v="23702.5"/>
    <s v="Medium Risk"/>
    <n v="118.5125"/>
  </r>
  <r>
    <x v="2"/>
    <s v="Monthly"/>
    <s v="Legal"/>
    <s v="11-01"/>
    <n v="17"/>
    <n v="676.6"/>
    <s v="Partner"/>
    <s v="North America"/>
    <d v="2022-04-05T00:00:00"/>
    <s v="Yes"/>
    <d v="2025-09-20T00:00:00"/>
    <s v="Price Too High"/>
    <n v="7"/>
    <n v="4"/>
    <n v="13"/>
    <s v="No"/>
    <n v="1"/>
    <n v="41"/>
    <n v="27740.600000000002"/>
    <s v="High Risk"/>
    <n v="138.703"/>
  </r>
  <r>
    <x v="1"/>
    <s v="Monthly"/>
    <s v="Consulting"/>
    <s v="11-01"/>
    <n v="14"/>
    <n v="85.55"/>
    <s v="Partner"/>
    <s v="Latin America"/>
    <d v="2024-03-11T00:00:00"/>
    <s v="Yes"/>
    <d v="2024-06-07T00:00:00"/>
    <s v="Switched Competitor"/>
    <n v="9"/>
    <n v="2"/>
    <n v="14"/>
    <s v="No"/>
    <n v="1"/>
    <n v="2"/>
    <n v="171.1"/>
    <s v="High Risk"/>
    <n v="0.85549999999999993"/>
  </r>
  <r>
    <x v="0"/>
    <s v="Monthly"/>
    <s v="Education"/>
    <s v="51-200"/>
    <n v="52"/>
    <n v="683.35"/>
    <s v="Paid Ads"/>
    <s v="North America"/>
    <d v="2025-09-28T00:00:00"/>
    <s v="No"/>
    <m/>
    <m/>
    <n v="11"/>
    <n v="8"/>
    <n v="17"/>
    <s v="No"/>
    <n v="0"/>
    <n v="7"/>
    <n v="4783.45"/>
    <s v="High Risk"/>
    <n v="23.917249999999999"/>
  </r>
  <r>
    <x v="1"/>
    <s v="Annual"/>
    <s v="Consulting"/>
    <s v="1-10"/>
    <n v="5"/>
    <n v="39.44"/>
    <s v="Referral"/>
    <s v="North America"/>
    <d v="2023-07-29T00:00:00"/>
    <s v="No"/>
    <m/>
    <m/>
    <n v="1"/>
    <n v="3"/>
    <n v="80"/>
    <s v="No"/>
    <n v="0"/>
    <n v="33"/>
    <n v="1301.52"/>
    <s v="Low Risk"/>
    <n v="6.5076000000000001"/>
  </r>
  <r>
    <x v="0"/>
    <s v="Annual"/>
    <s v="Media"/>
    <s v="11-01"/>
    <n v="25"/>
    <n v="308.89"/>
    <s v="Partner"/>
    <s v="North America"/>
    <d v="2024-05-17T00:00:00"/>
    <s v="No"/>
    <m/>
    <m/>
    <n v="3"/>
    <n v="6"/>
    <n v="92"/>
    <s v="No"/>
    <n v="0"/>
    <n v="23"/>
    <n v="7104.4699999999993"/>
    <s v="Low Risk"/>
    <n v="35.522349999999996"/>
  </r>
  <r>
    <x v="3"/>
    <s v="Monthly"/>
    <s v="Retail"/>
    <s v="11-01"/>
    <n v="25"/>
    <n v="2295.4"/>
    <s v="Direct Sales"/>
    <s v="North America"/>
    <d v="2025-03-09T00:00:00"/>
    <s v="Yes"/>
    <d v="2025-04-28T00:00:00"/>
    <s v="Switched Competitor"/>
    <n v="9"/>
    <n v="6"/>
    <n v="37"/>
    <s v="No"/>
    <n v="1"/>
    <n v="1"/>
    <n v="2295.4"/>
    <s v="Medium Risk"/>
    <n v="11.477"/>
  </r>
  <r>
    <x v="1"/>
    <s v="Monthly"/>
    <s v="Real Estate"/>
    <s v="201-500"/>
    <n v="117"/>
    <n v="533.6"/>
    <s v="Organic Search"/>
    <s v="North America"/>
    <d v="2024-07-19T00:00:00"/>
    <s v="Yes"/>
    <d v="2025-04-28T00:00:00"/>
    <s v="Price Too High"/>
    <n v="8"/>
    <n v="6"/>
    <n v="10"/>
    <s v="No"/>
    <n v="1"/>
    <n v="9"/>
    <n v="4802.4000000000005"/>
    <s v="High Risk"/>
    <n v="24.012000000000004"/>
  </r>
  <r>
    <x v="1"/>
    <s v="Monthly"/>
    <s v="Consulting"/>
    <s v="51-200"/>
    <n v="39"/>
    <n v="194.3"/>
    <s v="Referral"/>
    <s v="Latin America"/>
    <d v="2024-03-01T00:00:00"/>
    <s v="Yes"/>
    <d v="2024-04-17T00:00:00"/>
    <s v="Price Too High"/>
    <n v="13"/>
    <n v="1"/>
    <n v="22"/>
    <s v="No"/>
    <n v="1"/>
    <n v="1"/>
    <n v="194.3"/>
    <s v="High Risk"/>
    <n v="0.97150000000000003"/>
  </r>
  <r>
    <x v="2"/>
    <s v="Monthly"/>
    <s v="Legal"/>
    <s v="11-01"/>
    <n v="29"/>
    <n v="1034.8"/>
    <s v="Paid Ads"/>
    <s v="Asia Pacific"/>
    <d v="2023-02-10T00:00:00"/>
    <s v="Yes"/>
    <d v="2025-10-14T00:00:00"/>
    <s v="Company Closed"/>
    <n v="12"/>
    <n v="1"/>
    <n v="34"/>
    <s v="No"/>
    <n v="1"/>
    <n v="32"/>
    <n v="33113.599999999999"/>
    <s v="Medium Risk"/>
    <n v="165.56799999999998"/>
  </r>
  <r>
    <x v="2"/>
    <s v="Monthly"/>
    <s v="Finance"/>
    <s v="1-10"/>
    <n v="4"/>
    <n v="288.55"/>
    <s v="Partner"/>
    <s v="Europe"/>
    <d v="2025-10-29T00:00:00"/>
    <s v="No"/>
    <m/>
    <m/>
    <n v="6"/>
    <n v="2"/>
    <n v="63"/>
    <s v="No"/>
    <n v="0"/>
    <n v="6"/>
    <n v="1731.3000000000002"/>
    <s v="Low Risk"/>
    <n v="8.6565000000000012"/>
  </r>
  <r>
    <x v="1"/>
    <s v="Monthly"/>
    <s v="Real Estate"/>
    <s v="201-500"/>
    <n v="139"/>
    <n v="629.29999999999995"/>
    <s v="Paid Ads"/>
    <s v="Asia Pacific"/>
    <d v="2022-01-08T00:00:00"/>
    <s v="Yes"/>
    <d v="2022-04-08T00:00:00"/>
    <s v="Missing Features"/>
    <n v="10"/>
    <n v="6"/>
    <n v="20"/>
    <s v="No"/>
    <n v="1"/>
    <n v="3"/>
    <n v="1887.8999999999999"/>
    <s v="High Risk"/>
    <n v="9.4394999999999989"/>
  </r>
  <r>
    <x v="1"/>
    <s v="Annual"/>
    <s v="Legal"/>
    <s v="11-01"/>
    <n v="16"/>
    <n v="80.11"/>
    <s v="Organic Search"/>
    <s v="Europe"/>
    <d v="2022-05-12T00:00:00"/>
    <s v="Yes"/>
    <d v="2023-01-05T00:00:00"/>
    <s v="Missing Features"/>
    <n v="7"/>
    <n v="5"/>
    <n v="18"/>
    <s v="No"/>
    <n v="1"/>
    <n v="7"/>
    <n v="560.77"/>
    <s v="High Risk"/>
    <n v="2.8038499999999997"/>
  </r>
  <r>
    <x v="3"/>
    <s v="Annual"/>
    <s v="Healthcare"/>
    <s v="51-200"/>
    <n v="46"/>
    <n v="3287.16"/>
    <s v="Partner"/>
    <s v="North America"/>
    <d v="2023-03-09T00:00:00"/>
    <s v="Yes"/>
    <d v="2024-06-16T00:00:00"/>
    <s v="No Longer Needed"/>
    <n v="12"/>
    <n v="5"/>
    <n v="27"/>
    <s v="No"/>
    <n v="1"/>
    <n v="15"/>
    <n v="49307.399999999994"/>
    <s v="High Risk"/>
    <n v="246.53699999999998"/>
  </r>
  <r>
    <x v="1"/>
    <s v="Monthly"/>
    <s v="Legal"/>
    <s v="11-01"/>
    <n v="26"/>
    <n v="137.75"/>
    <s v="Organic Search"/>
    <s v="Latin America"/>
    <d v="2023-09-22T00:00:00"/>
    <s v="Yes"/>
    <d v="2023-12-09T00:00:00"/>
    <s v="Poor Support"/>
    <n v="12"/>
    <n v="1"/>
    <n v="33"/>
    <s v="No"/>
    <n v="1"/>
    <n v="2"/>
    <n v="275.5"/>
    <s v="Medium Risk"/>
    <n v="1.3774999999999999"/>
  </r>
  <r>
    <x v="2"/>
    <s v="Monthly"/>
    <s v="Manufacturing"/>
    <s v="11-01"/>
    <n v="5"/>
    <n v="318.39999999999998"/>
    <s v="Organic Search"/>
    <s v="Asia Pacific"/>
    <d v="2022-05-11T00:00:00"/>
    <s v="Yes"/>
    <d v="2023-11-07T00:00:00"/>
    <s v="Poor Support"/>
    <n v="10"/>
    <n v="6"/>
    <n v="31"/>
    <s v="No"/>
    <n v="1"/>
    <n v="17"/>
    <n v="5412.7999999999993"/>
    <s v="Medium Risk"/>
    <n v="27.063999999999997"/>
  </r>
  <r>
    <x v="1"/>
    <s v="Annual"/>
    <s v="Technology"/>
    <s v="201-500"/>
    <n v="62"/>
    <n v="250.2"/>
    <s v="Social Media"/>
    <s v="Asia Pacific"/>
    <d v="2023-07-22T00:00:00"/>
    <s v="Yes"/>
    <d v="2023-08-24T00:00:00"/>
    <s v="Missing Features"/>
    <n v="13"/>
    <n v="6"/>
    <n v="10"/>
    <s v="No"/>
    <n v="1"/>
    <n v="1"/>
    <n v="250.2"/>
    <s v="High Risk"/>
    <n v="1.2509999999999999"/>
  </r>
  <r>
    <x v="2"/>
    <s v="Annual"/>
    <s v="Manufacturing"/>
    <s v="201-500"/>
    <n v="150"/>
    <n v="3949.65"/>
    <s v="Organic Search"/>
    <s v="North America"/>
    <d v="2024-04-07T00:00:00"/>
    <s v="No"/>
    <m/>
    <m/>
    <n v="7"/>
    <n v="9"/>
    <n v="67"/>
    <s v="No"/>
    <n v="0"/>
    <n v="24"/>
    <n v="94791.6"/>
    <s v="Low Risk"/>
    <n v="473.95800000000003"/>
  </r>
  <r>
    <x v="1"/>
    <s v="Annual"/>
    <s v="Real Estate"/>
    <s v="201-500"/>
    <n v="126"/>
    <n v="486.84"/>
    <s v="Direct Sales"/>
    <s v="Asia Pacific"/>
    <d v="2022-08-26T00:00:00"/>
    <s v="No"/>
    <m/>
    <m/>
    <n v="11"/>
    <n v="5"/>
    <n v="74"/>
    <s v="No"/>
    <n v="0"/>
    <n v="44"/>
    <n v="21420.959999999999"/>
    <s v="Low Risk"/>
    <n v="107.1048"/>
  </r>
  <r>
    <x v="1"/>
    <s v="Monthly"/>
    <s v="Retail"/>
    <s v="11-01"/>
    <n v="24"/>
    <n v="129.05000000000001"/>
    <s v="Organic Search"/>
    <s v="North America"/>
    <d v="2023-01-14T00:00:00"/>
    <s v="Yes"/>
    <d v="2025-09-22T00:00:00"/>
    <s v="Price Too High"/>
    <n v="11"/>
    <n v="1"/>
    <n v="16"/>
    <s v="No"/>
    <n v="1"/>
    <n v="32"/>
    <n v="4129.6000000000004"/>
    <s v="High Risk"/>
    <n v="20.648000000000003"/>
  </r>
  <r>
    <x v="0"/>
    <s v="Annual"/>
    <s v="Technology"/>
    <s v="1-10"/>
    <n v="4"/>
    <n v="97.37"/>
    <s v="Referral"/>
    <s v="North America"/>
    <d v="2025-02-27T00:00:00"/>
    <s v="Yes"/>
    <d v="2025-11-09T00:00:00"/>
    <s v="Switched Competitor"/>
    <n v="0"/>
    <n v="4"/>
    <n v="29"/>
    <s v="No"/>
    <n v="1"/>
    <n v="8"/>
    <n v="778.96"/>
    <s v="High Risk"/>
    <n v="3.8948"/>
  </r>
  <r>
    <x v="3"/>
    <s v="Monthly"/>
    <s v="Consulting"/>
    <s v="201-500"/>
    <n v="141"/>
    <n v="10978"/>
    <s v="Paid Ads"/>
    <s v="Europe"/>
    <d v="2022-09-24T00:00:00"/>
    <s v="No"/>
    <m/>
    <m/>
    <n v="6"/>
    <n v="2"/>
    <n v="49"/>
    <s v="No"/>
    <n v="0"/>
    <n v="43"/>
    <n v="472054"/>
    <s v="Medium Risk"/>
    <n v="2360.27"/>
  </r>
  <r>
    <x v="1"/>
    <s v="Annual"/>
    <s v="Retail"/>
    <s v="201-500"/>
    <n v="142"/>
    <n v="546"/>
    <s v="Paid Ads"/>
    <s v="North America"/>
    <d v="2023-09-02T00:00:00"/>
    <s v="Yes"/>
    <d v="2023-09-30T00:00:00"/>
    <s v="No Longer Needed"/>
    <n v="13"/>
    <n v="2"/>
    <n v="31"/>
    <s v="No"/>
    <n v="1"/>
    <n v="0"/>
    <n v="0"/>
    <s v="Medium Risk"/>
    <n v="0"/>
  </r>
  <r>
    <x v="0"/>
    <s v="Monthly"/>
    <s v="Real Estate"/>
    <s v="1-10"/>
    <n v="4"/>
    <n v="114.55"/>
    <s v="Referral"/>
    <s v="Latin America"/>
    <d v="2025-08-20T00:00:00"/>
    <s v="Yes"/>
    <d v="2025-12-13T00:00:00"/>
    <s v="Budget Cuts"/>
    <n v="7"/>
    <n v="1"/>
    <n v="24"/>
    <s v="No"/>
    <n v="1"/>
    <n v="3"/>
    <n v="343.65"/>
    <s v="High Risk"/>
    <n v="1.7182499999999998"/>
  </r>
  <r>
    <x v="1"/>
    <s v="Monthly"/>
    <s v="Legal"/>
    <s v="1-10"/>
    <n v="3"/>
    <n v="37.700000000000003"/>
    <s v="Referral"/>
    <s v="North America"/>
    <d v="2023-07-30T00:00:00"/>
    <s v="Yes"/>
    <d v="2023-12-10T00:00:00"/>
    <s v="Price Too High"/>
    <n v="11"/>
    <n v="1"/>
    <n v="46"/>
    <s v="No"/>
    <n v="1"/>
    <n v="4"/>
    <n v="150.80000000000001"/>
    <s v="Medium Risk"/>
    <n v="0.754"/>
  </r>
  <r>
    <x v="0"/>
    <s v="Annual"/>
    <s v="Consulting"/>
    <s v="11-01"/>
    <n v="31"/>
    <n v="369.33"/>
    <s v="Partner"/>
    <s v="Asia Pacific"/>
    <d v="2023-05-25T00:00:00"/>
    <s v="No"/>
    <m/>
    <m/>
    <n v="11"/>
    <n v="4"/>
    <n v="66"/>
    <s v="No"/>
    <n v="0"/>
    <n v="35"/>
    <n v="12926.55"/>
    <s v="Low Risk"/>
    <n v="64.632750000000001"/>
  </r>
  <r>
    <x v="0"/>
    <s v="Annual"/>
    <s v="Media"/>
    <s v="201-500"/>
    <n v="94"/>
    <n v="1003.89"/>
    <s v="Referral"/>
    <s v="Latin America"/>
    <d v="2024-06-27T00:00:00"/>
    <s v="No"/>
    <m/>
    <m/>
    <n v="7"/>
    <n v="7"/>
    <n v="62"/>
    <s v="No"/>
    <n v="0"/>
    <n v="22"/>
    <n v="22085.579999999998"/>
    <s v="Low Risk"/>
    <n v="110.42789999999999"/>
  </r>
  <r>
    <x v="0"/>
    <s v="Monthly"/>
    <s v="Manufacturing"/>
    <s v="201-500"/>
    <n v="38"/>
    <n v="517.45000000000005"/>
    <s v="Paid Ads"/>
    <s v="North America"/>
    <d v="2023-05-13T00:00:00"/>
    <s v="Yes"/>
    <d v="2024-07-27T00:00:00"/>
    <s v="Poor Support"/>
    <n v="4"/>
    <n v="4"/>
    <n v="44"/>
    <s v="No"/>
    <n v="1"/>
    <n v="14"/>
    <n v="7244.3000000000011"/>
    <s v="Medium Risk"/>
    <n v="36.221500000000006"/>
  </r>
  <r>
    <x v="1"/>
    <s v="Annual"/>
    <s v="Manufacturing"/>
    <s v="1-10"/>
    <n v="8"/>
    <n v="50.53"/>
    <s v="Paid Ads"/>
    <s v="Europe"/>
    <d v="2022-10-31T00:00:00"/>
    <s v="Yes"/>
    <d v="2024-06-10T00:00:00"/>
    <s v="No Longer Needed"/>
    <n v="2"/>
    <n v="6"/>
    <n v="17"/>
    <s v="No"/>
    <n v="1"/>
    <n v="19"/>
    <n v="960.07"/>
    <s v="High Risk"/>
    <n v="4.8003499999999999"/>
  </r>
  <r>
    <x v="1"/>
    <s v="Monthly"/>
    <s v="Media"/>
    <s v="11-01"/>
    <n v="19"/>
    <n v="107.3"/>
    <s v="Paid Ads"/>
    <s v="North America"/>
    <d v="2024-03-10T00:00:00"/>
    <s v="Yes"/>
    <d v="2024-05-06T00:00:00"/>
    <s v="Missing Features"/>
    <n v="9"/>
    <n v="5"/>
    <n v="18"/>
    <s v="No"/>
    <n v="1"/>
    <n v="1"/>
    <n v="107.3"/>
    <s v="High Risk"/>
    <n v="0.53649999999999998"/>
  </r>
  <r>
    <x v="0"/>
    <s v="Monthly"/>
    <s v="Media"/>
    <s v="51-200"/>
    <n v="39"/>
    <n v="529.29999999999995"/>
    <s v="Direct Sales"/>
    <s v="North America"/>
    <d v="2025-02-13T00:00:00"/>
    <s v="No"/>
    <m/>
    <m/>
    <n v="1"/>
    <n v="10"/>
    <n v="49"/>
    <s v="No"/>
    <n v="0"/>
    <n v="14"/>
    <n v="7410.1999999999989"/>
    <s v="Medium Risk"/>
    <n v="37.050999999999995"/>
  </r>
  <r>
    <x v="0"/>
    <s v="Annual"/>
    <s v="Real Estate"/>
    <s v="11-01"/>
    <n v="19"/>
    <n v="248.46"/>
    <s v="Organic Search"/>
    <s v="North America"/>
    <d v="2024-03-28T00:00:00"/>
    <s v="No"/>
    <m/>
    <m/>
    <n v="5"/>
    <n v="6"/>
    <n v="23"/>
    <s v="No"/>
    <n v="0"/>
    <n v="25"/>
    <n v="6211.5"/>
    <s v="High Risk"/>
    <n v="31.057500000000001"/>
  </r>
  <r>
    <x v="2"/>
    <s v="Monthly"/>
    <s v="Finance"/>
    <s v="1-10"/>
    <n v="4"/>
    <n v="288.55"/>
    <s v="Organic Search"/>
    <s v="Europe"/>
    <d v="2024-03-12T00:00:00"/>
    <s v="No"/>
    <m/>
    <m/>
    <n v="0"/>
    <n v="4"/>
    <n v="39"/>
    <s v="No"/>
    <n v="0"/>
    <n v="25"/>
    <n v="7213.75"/>
    <s v="Medium Risk"/>
    <n v="36.068750000000001"/>
  </r>
  <r>
    <x v="0"/>
    <s v="Monthly"/>
    <s v="Education"/>
    <s v="1-10"/>
    <n v="7"/>
    <n v="150.1"/>
    <s v="Referral"/>
    <s v="Europe"/>
    <d v="2023-10-18T00:00:00"/>
    <s v="No"/>
    <m/>
    <m/>
    <n v="3"/>
    <n v="7"/>
    <n v="73"/>
    <s v="No"/>
    <n v="0"/>
    <n v="30"/>
    <n v="4503"/>
    <s v="Low Risk"/>
    <n v="22.515000000000001"/>
  </r>
  <r>
    <x v="1"/>
    <s v="Annual"/>
    <s v="Real Estate"/>
    <s v="11-01"/>
    <n v="5"/>
    <n v="39.44"/>
    <s v="Organic Search"/>
    <s v="Europe"/>
    <d v="2024-08-14T00:00:00"/>
    <s v="Yes"/>
    <d v="2024-10-27T00:00:00"/>
    <s v="Company Closed"/>
    <n v="2"/>
    <n v="1"/>
    <n v="39"/>
    <s v="No"/>
    <n v="1"/>
    <n v="2"/>
    <n v="78.88"/>
    <s v="Medium Risk"/>
    <n v="0.39439999999999997"/>
  </r>
  <r>
    <x v="2"/>
    <s v="Annual"/>
    <s v="Finance"/>
    <s v="500+"/>
    <n v="252"/>
    <n v="6537.65"/>
    <s v="Organic Search"/>
    <s v="North America"/>
    <d v="2023-04-28T00:00:00"/>
    <s v="Yes"/>
    <d v="2023-05-22T00:00:00"/>
    <s v="Price Too High"/>
    <n v="9"/>
    <n v="6"/>
    <n v="44"/>
    <s v="No"/>
    <n v="1"/>
    <n v="0"/>
    <n v="0"/>
    <s v="Medium Risk"/>
    <n v="0"/>
  </r>
  <r>
    <x v="2"/>
    <s v="Annual"/>
    <s v="Real Estate"/>
    <s v="201-500"/>
    <n v="86"/>
    <n v="2325.81"/>
    <s v="Paid Ads"/>
    <s v="North America"/>
    <d v="2023-10-10T00:00:00"/>
    <s v="Yes"/>
    <d v="2025-11-23T00:00:00"/>
    <s v="Switched Competitor"/>
    <n v="0"/>
    <n v="2"/>
    <n v="11"/>
    <s v="No"/>
    <n v="1"/>
    <n v="25"/>
    <n v="58145.25"/>
    <s v="High Risk"/>
    <n v="290.72624999999999"/>
  </r>
  <r>
    <x v="1"/>
    <s v="Annual"/>
    <s v="Education"/>
    <s v="1-10"/>
    <n v="5"/>
    <n v="39.44"/>
    <s v="Partner"/>
    <s v="North America"/>
    <d v="2022-07-29T00:00:00"/>
    <s v="Yes"/>
    <d v="2024-07-19T00:00:00"/>
    <s v="Budget Cuts"/>
    <n v="3"/>
    <n v="1"/>
    <n v="34"/>
    <s v="No"/>
    <n v="1"/>
    <n v="23"/>
    <n v="907.11999999999989"/>
    <s v="Medium Risk"/>
    <n v="4.5355999999999996"/>
  </r>
  <r>
    <x v="2"/>
    <s v="Annual"/>
    <s v="Healthcare"/>
    <s v="1-10"/>
    <n v="7"/>
    <n v="321.38"/>
    <s v="Organic Search"/>
    <s v="North America"/>
    <d v="2024-11-06T00:00:00"/>
    <s v="No"/>
    <m/>
    <m/>
    <n v="9"/>
    <n v="9"/>
    <n v="30"/>
    <s v="No"/>
    <n v="0"/>
    <n v="17"/>
    <n v="5463.46"/>
    <s v="Medium Risk"/>
    <n v="27.317299999999999"/>
  </r>
  <r>
    <x v="0"/>
    <s v="Annual"/>
    <s v="Media"/>
    <s v="51-200"/>
    <n v="34"/>
    <n v="399.54"/>
    <s v="Referral"/>
    <s v="Europe"/>
    <d v="2022-04-04T00:00:00"/>
    <s v="Yes"/>
    <d v="2024-08-24T00:00:00"/>
    <s v="Company Closed"/>
    <n v="14"/>
    <n v="1"/>
    <n v="34"/>
    <s v="No"/>
    <n v="1"/>
    <n v="28"/>
    <n v="11187.12"/>
    <s v="Medium Risk"/>
    <n v="55.935600000000001"/>
  </r>
  <r>
    <x v="2"/>
    <s v="Monthly"/>
    <s v="Consulting"/>
    <s v="1-10"/>
    <n v="8"/>
    <n v="407.95"/>
    <s v="Organic Search"/>
    <s v="North America"/>
    <d v="2023-01-22T00:00:00"/>
    <s v="Yes"/>
    <d v="2024-08-27T00:00:00"/>
    <s v="Poor Support"/>
    <n v="13"/>
    <n v="5"/>
    <n v="25"/>
    <s v="No"/>
    <n v="1"/>
    <n v="19"/>
    <n v="7751.05"/>
    <s v="High Risk"/>
    <n v="38.755250000000004"/>
  </r>
  <r>
    <x v="2"/>
    <s v="Monthly"/>
    <s v="Healthcare"/>
    <s v="51-200"/>
    <n v="43"/>
    <n v="1452.7"/>
    <s v="Partner"/>
    <s v="North America"/>
    <d v="2025-09-25T00:00:00"/>
    <s v="No"/>
    <m/>
    <m/>
    <n v="4"/>
    <n v="5"/>
    <n v="79"/>
    <s v="No"/>
    <n v="0"/>
    <n v="7"/>
    <n v="10168.9"/>
    <s v="Low Risk"/>
    <n v="50.844499999999996"/>
  </r>
  <r>
    <x v="2"/>
    <s v="Monthly"/>
    <s v="Manufacturing"/>
    <s v="11-01"/>
    <n v="7"/>
    <n v="378.1"/>
    <s v="Paid Ads"/>
    <s v="North America"/>
    <d v="2025-02-23T00:00:00"/>
    <s v="No"/>
    <m/>
    <m/>
    <n v="11"/>
    <n v="1"/>
    <n v="29"/>
    <s v="Yes"/>
    <n v="0"/>
    <n v="14"/>
    <n v="5293.4000000000005"/>
    <s v="High Risk"/>
    <n v="26.467000000000002"/>
  </r>
  <r>
    <x v="2"/>
    <s v="Monthly"/>
    <s v="Retail"/>
    <s v="51-200"/>
    <n v="29"/>
    <n v="1034.8"/>
    <s v="Direct Sales"/>
    <s v="North America"/>
    <d v="2023-02-22T00:00:00"/>
    <s v="Yes"/>
    <d v="2025-09-29T00:00:00"/>
    <s v="Missing Features"/>
    <n v="14"/>
    <n v="4"/>
    <n v="41"/>
    <s v="No"/>
    <n v="1"/>
    <n v="31"/>
    <n v="32078.799999999999"/>
    <s v="Medium Risk"/>
    <n v="160.39400000000001"/>
  </r>
  <r>
    <x v="0"/>
    <s v="Annual"/>
    <s v="Consulting"/>
    <s v="500+"/>
    <n v="115"/>
    <n v="1215.4100000000001"/>
    <s v="Referral"/>
    <s v="Europe"/>
    <d v="2022-09-12T00:00:00"/>
    <s v="Yes"/>
    <d v="2023-04-03T00:00:00"/>
    <s v="Missing Features"/>
    <n v="7"/>
    <n v="4"/>
    <n v="48"/>
    <s v="No"/>
    <n v="1"/>
    <n v="6"/>
    <n v="7292.4600000000009"/>
    <s v="Medium Risk"/>
    <n v="36.462300000000006"/>
  </r>
  <r>
    <x v="1"/>
    <s v="Monthly"/>
    <s v="Finance"/>
    <s v="51-200"/>
    <n v="75"/>
    <n v="350.9"/>
    <s v="Paid Ads"/>
    <s v="North America"/>
    <d v="2025-10-14T00:00:00"/>
    <s v="No"/>
    <m/>
    <m/>
    <n v="10"/>
    <n v="8"/>
    <n v="92"/>
    <s v="No"/>
    <n v="0"/>
    <n v="6"/>
    <n v="2105.3999999999996"/>
    <s v="Low Risk"/>
    <n v="10.526999999999997"/>
  </r>
  <r>
    <x v="1"/>
    <s v="Monthly"/>
    <s v="Manufacturing"/>
    <s v="1-10"/>
    <n v="8"/>
    <n v="59.45"/>
    <s v="Referral"/>
    <s v="North America"/>
    <d v="2025-04-01T00:00:00"/>
    <s v="Yes"/>
    <d v="2025-04-19T00:00:00"/>
    <s v="Poor Support"/>
    <n v="11"/>
    <n v="2"/>
    <n v="27"/>
    <s v="No"/>
    <n v="1"/>
    <n v="0"/>
    <n v="0"/>
    <s v="High Risk"/>
    <n v="0"/>
  </r>
  <r>
    <x v="0"/>
    <s v="Monthly"/>
    <s v="Legal"/>
    <s v="201-500"/>
    <n v="125"/>
    <n v="1548.4"/>
    <s v="Referral"/>
    <s v="North America"/>
    <d v="2022-03-17T00:00:00"/>
    <s v="Yes"/>
    <d v="2023-06-19T00:00:00"/>
    <s v="Price Too High"/>
    <n v="14"/>
    <n v="4"/>
    <n v="12"/>
    <s v="No"/>
    <n v="1"/>
    <n v="15"/>
    <n v="23226"/>
    <s v="High Risk"/>
    <n v="116.13"/>
  </r>
  <r>
    <x v="0"/>
    <s v="Monthly"/>
    <s v="Finance"/>
    <s v="201-500"/>
    <n v="92"/>
    <n v="1157.3499999999999"/>
    <s v="Paid Ads"/>
    <s v="Europe"/>
    <d v="2024-08-28T00:00:00"/>
    <s v="Yes"/>
    <d v="2025-10-02T00:00:00"/>
    <s v="Price Too High"/>
    <n v="13"/>
    <n v="1"/>
    <n v="18"/>
    <s v="No"/>
    <n v="1"/>
    <n v="13"/>
    <n v="15045.55"/>
    <s v="High Risk"/>
    <n v="75.22775"/>
  </r>
  <r>
    <x v="0"/>
    <s v="Monthly"/>
    <s v="Healthcare"/>
    <s v="51-200"/>
    <n v="45"/>
    <n v="600.4"/>
    <s v="Paid Ads"/>
    <s v="North America"/>
    <d v="2022-11-25T00:00:00"/>
    <s v="Yes"/>
    <d v="2023-05-25T00:00:00"/>
    <s v="No Longer Needed"/>
    <n v="8"/>
    <n v="4"/>
    <n v="24"/>
    <s v="No"/>
    <n v="1"/>
    <n v="6"/>
    <n v="3602.3999999999996"/>
    <s v="High Risk"/>
    <n v="18.011999999999997"/>
  </r>
  <r>
    <x v="2"/>
    <s v="Annual"/>
    <s v="Real Estate"/>
    <s v="201-500"/>
    <n v="49"/>
    <n v="1387.03"/>
    <s v="Partner"/>
    <s v="Asia Pacific"/>
    <d v="2022-10-13T00:00:00"/>
    <s v="No"/>
    <m/>
    <m/>
    <n v="0"/>
    <n v="9"/>
    <n v="95"/>
    <s v="No"/>
    <n v="0"/>
    <n v="42"/>
    <n v="58255.26"/>
    <s v="Low Risk"/>
    <n v="291.27629999999999"/>
  </r>
  <r>
    <x v="2"/>
    <s v="Monthly"/>
    <s v="Real Estate"/>
    <s v="201-500"/>
    <n v="137"/>
    <n v="4258.6000000000004"/>
    <s v="Referral"/>
    <s v="Asia Pacific"/>
    <d v="2023-07-23T00:00:00"/>
    <s v="Yes"/>
    <d v="2024-08-12T00:00:00"/>
    <s v="Missing Features"/>
    <n v="15"/>
    <n v="1"/>
    <n v="25"/>
    <s v="No"/>
    <n v="1"/>
    <n v="12"/>
    <n v="51103.200000000004"/>
    <s v="High Risk"/>
    <n v="255.51600000000002"/>
  </r>
  <r>
    <x v="1"/>
    <s v="Monthly"/>
    <s v="Retail"/>
    <s v="11-01"/>
    <n v="13"/>
    <n v="81.2"/>
    <s v="Social Media"/>
    <s v="Europe"/>
    <d v="2024-09-08T00:00:00"/>
    <s v="Yes"/>
    <d v="2024-10-15T00:00:00"/>
    <s v="Switched Competitor"/>
    <n v="7"/>
    <n v="3"/>
    <n v="45"/>
    <s v="No"/>
    <n v="1"/>
    <n v="1"/>
    <n v="81.2"/>
    <s v="Medium Risk"/>
    <n v="0.40600000000000003"/>
  </r>
  <r>
    <x v="2"/>
    <s v="Annual"/>
    <s v="Manufacturing"/>
    <s v="11-01"/>
    <n v="14"/>
    <n v="498.99"/>
    <s v="Social Media"/>
    <s v="Europe"/>
    <d v="2025-02-18T00:00:00"/>
    <s v="Yes"/>
    <d v="2025-05-18T00:00:00"/>
    <s v="Missing Features"/>
    <n v="13"/>
    <n v="1"/>
    <n v="33"/>
    <s v="No"/>
    <n v="1"/>
    <n v="3"/>
    <n v="1496.97"/>
    <s v="Medium Risk"/>
    <n v="7.4848499999999998"/>
  </r>
  <r>
    <x v="1"/>
    <s v="Annual"/>
    <s v="Real Estate"/>
    <s v="11-01"/>
    <n v="18"/>
    <n v="87.51"/>
    <s v="Organic Search"/>
    <s v="Latin America"/>
    <d v="2024-08-17T00:00:00"/>
    <s v="Yes"/>
    <d v="2024-10-30T00:00:00"/>
    <s v="Price Too High"/>
    <n v="10"/>
    <n v="1"/>
    <n v="36"/>
    <s v="No"/>
    <n v="1"/>
    <n v="2"/>
    <n v="175.02"/>
    <s v="Medium Risk"/>
    <n v="0.8751000000000001"/>
  </r>
  <r>
    <x v="1"/>
    <s v="Monthly"/>
    <s v="Consulting"/>
    <s v="1-10"/>
    <n v="2"/>
    <n v="33.35"/>
    <s v="Social Media"/>
    <s v="Latin America"/>
    <d v="2022-10-05T00:00:00"/>
    <s v="Yes"/>
    <d v="2023-07-03T00:00:00"/>
    <s v="Switched Competitor"/>
    <n v="11"/>
    <n v="1"/>
    <n v="37"/>
    <s v="No"/>
    <n v="1"/>
    <n v="8"/>
    <n v="266.8"/>
    <s v="Medium Risk"/>
    <n v="1.3340000000000001"/>
  </r>
  <r>
    <x v="0"/>
    <s v="Annual"/>
    <s v="Manufacturing"/>
    <s v="201-500"/>
    <n v="143"/>
    <n v="1497.45"/>
    <s v="Organic Search"/>
    <s v="Europe"/>
    <d v="2022-04-04T00:00:00"/>
    <s v="No"/>
    <m/>
    <m/>
    <n v="2"/>
    <n v="9"/>
    <n v="29"/>
    <s v="Yes"/>
    <n v="0"/>
    <n v="48"/>
    <n v="71877.600000000006"/>
    <s v="High Risk"/>
    <n v="359.38800000000003"/>
  </r>
  <r>
    <x v="0"/>
    <s v="Monthly"/>
    <s v="Retail"/>
    <s v="1-10"/>
    <n v="8"/>
    <n v="161.94999999999999"/>
    <s v="Referral"/>
    <s v="North America"/>
    <d v="2022-03-07T00:00:00"/>
    <s v="Yes"/>
    <d v="2024-02-27T00:00:00"/>
    <s v="Missing Features"/>
    <n v="7"/>
    <n v="2"/>
    <n v="10"/>
    <s v="No"/>
    <n v="1"/>
    <n v="23"/>
    <n v="3724.85"/>
    <s v="High Risk"/>
    <n v="18.62425"/>
  </r>
  <r>
    <x v="0"/>
    <s v="Monthly"/>
    <s v="Manufacturing"/>
    <s v="500+"/>
    <n v="185"/>
    <n v="2259.4"/>
    <s v="Paid Ads"/>
    <s v="North America"/>
    <d v="2022-09-26T00:00:00"/>
    <s v="Yes"/>
    <d v="2023-01-27T00:00:00"/>
    <s v="Poor Support"/>
    <n v="10"/>
    <n v="6"/>
    <n v="29"/>
    <s v="No"/>
    <n v="1"/>
    <n v="4"/>
    <n v="9037.6"/>
    <s v="High Risk"/>
    <n v="45.188000000000002"/>
  </r>
  <r>
    <x v="0"/>
    <s v="Monthly"/>
    <s v="Consulting"/>
    <s v="51-200"/>
    <n v="59"/>
    <n v="766.3"/>
    <s v="Social Media"/>
    <s v="North America"/>
    <d v="2023-04-14T00:00:00"/>
    <s v="No"/>
    <m/>
    <m/>
    <n v="3"/>
    <n v="7"/>
    <n v="92"/>
    <s v="Yes"/>
    <n v="0"/>
    <n v="36"/>
    <n v="27586.799999999999"/>
    <s v="Low Risk"/>
    <n v="137.934"/>
  </r>
  <r>
    <x v="1"/>
    <s v="Monthly"/>
    <s v="Manufacturing"/>
    <s v="11-01"/>
    <n v="15"/>
    <n v="89.9"/>
    <s v="Referral"/>
    <s v="Europe"/>
    <d v="2023-10-29T00:00:00"/>
    <s v="Yes"/>
    <d v="2024-06-25T00:00:00"/>
    <s v="Price Too High"/>
    <n v="4"/>
    <n v="5"/>
    <n v="20"/>
    <s v="No"/>
    <n v="1"/>
    <n v="7"/>
    <n v="629.30000000000007"/>
    <s v="High Risk"/>
    <n v="3.1465000000000005"/>
  </r>
  <r>
    <x v="1"/>
    <s v="Monthly"/>
    <s v="Media"/>
    <s v="1-10"/>
    <n v="5"/>
    <n v="46.4"/>
    <s v="Referral"/>
    <s v="Europe"/>
    <d v="2023-04-25T00:00:00"/>
    <s v="Yes"/>
    <d v="2024-08-21T00:00:00"/>
    <s v="Budget Cuts"/>
    <n v="11"/>
    <n v="6"/>
    <n v="50"/>
    <s v="No"/>
    <n v="1"/>
    <n v="15"/>
    <n v="696"/>
    <s v="Medium Risk"/>
    <n v="3.48"/>
  </r>
  <r>
    <x v="1"/>
    <s v="Monthly"/>
    <s v="Technology"/>
    <s v="1-10"/>
    <n v="6"/>
    <n v="50.75"/>
    <s v="Referral"/>
    <s v="Asia Pacific"/>
    <d v="2025-03-15T00:00:00"/>
    <s v="Yes"/>
    <d v="2025-07-31T00:00:00"/>
    <s v="No Longer Needed"/>
    <n v="6"/>
    <n v="2"/>
    <n v="22"/>
    <s v="No"/>
    <n v="1"/>
    <n v="4"/>
    <n v="203"/>
    <s v="High Risk"/>
    <n v="1.0149999999999999"/>
  </r>
  <r>
    <x v="2"/>
    <s v="Monthly"/>
    <s v="Education"/>
    <s v="1-10"/>
    <n v="7"/>
    <n v="378.1"/>
    <s v="Organic Search"/>
    <s v="North America"/>
    <d v="2024-03-06T00:00:00"/>
    <s v="No"/>
    <m/>
    <m/>
    <n v="10"/>
    <n v="10"/>
    <n v="68"/>
    <s v="Yes"/>
    <n v="0"/>
    <n v="25"/>
    <n v="9452.5"/>
    <s v="Low Risk"/>
    <n v="47.262500000000003"/>
  </r>
  <r>
    <x v="1"/>
    <s v="Annual"/>
    <s v="Real Estate"/>
    <s v="51-200"/>
    <n v="79"/>
    <n v="313.05"/>
    <s v="Paid Ads"/>
    <s v="Latin America"/>
    <d v="2024-12-25T00:00:00"/>
    <s v="No"/>
    <m/>
    <m/>
    <n v="6"/>
    <n v="7"/>
    <n v="37"/>
    <s v="No"/>
    <n v="0"/>
    <n v="16"/>
    <n v="5008.8"/>
    <s v="Medium Risk"/>
    <n v="25.044"/>
  </r>
  <r>
    <x v="1"/>
    <s v="Monthly"/>
    <s v="Real Estate"/>
    <s v="11-01"/>
    <n v="11"/>
    <n v="72.5"/>
    <s v="Organic Search"/>
    <s v="North America"/>
    <d v="2025-10-18T00:00:00"/>
    <s v="No"/>
    <m/>
    <m/>
    <n v="1"/>
    <n v="4"/>
    <n v="24"/>
    <s v="No"/>
    <n v="0"/>
    <n v="6"/>
    <n v="435"/>
    <s v="High Risk"/>
    <n v="2.1749999999999998"/>
  </r>
  <r>
    <x v="0"/>
    <s v="Monthly"/>
    <s v="Media"/>
    <s v="11-01"/>
    <n v="15"/>
    <n v="244.9"/>
    <s v="Paid Ads"/>
    <s v="Europe"/>
    <d v="2025-06-09T00:00:00"/>
    <s v="No"/>
    <m/>
    <m/>
    <n v="8"/>
    <n v="5"/>
    <n v="32"/>
    <s v="No"/>
    <n v="0"/>
    <n v="10"/>
    <n v="2449"/>
    <s v="Medium Risk"/>
    <n v="12.244999999999999"/>
  </r>
  <r>
    <x v="2"/>
    <s v="Monthly"/>
    <s v="Education"/>
    <s v="11-01"/>
    <n v="20"/>
    <n v="766.15"/>
    <s v="Referral"/>
    <s v="Europe"/>
    <d v="2025-11-05T00:00:00"/>
    <s v="No"/>
    <m/>
    <m/>
    <n v="2"/>
    <n v="9"/>
    <n v="39"/>
    <s v="No"/>
    <n v="0"/>
    <n v="5"/>
    <n v="3830.75"/>
    <s v="Medium Risk"/>
    <n v="19.153749999999999"/>
  </r>
  <r>
    <x v="1"/>
    <s v="Annual"/>
    <s v="Real Estate"/>
    <s v="11-01"/>
    <n v="27"/>
    <n v="120.78"/>
    <s v="Organic Search"/>
    <s v="Asia Pacific"/>
    <d v="2025-10-03T00:00:00"/>
    <s v="No"/>
    <m/>
    <m/>
    <n v="3"/>
    <n v="8"/>
    <n v="22"/>
    <s v="No"/>
    <n v="0"/>
    <n v="6"/>
    <n v="724.68000000000006"/>
    <s v="High Risk"/>
    <n v="3.6234000000000002"/>
  </r>
  <r>
    <x v="0"/>
    <s v="Annual"/>
    <s v="Education"/>
    <s v="51-200"/>
    <n v="28"/>
    <n v="339.11"/>
    <s v="Organic Search"/>
    <s v="North America"/>
    <d v="2025-05-10T00:00:00"/>
    <s v="No"/>
    <m/>
    <m/>
    <n v="2"/>
    <n v="1"/>
    <n v="51"/>
    <s v="No"/>
    <n v="0"/>
    <n v="11"/>
    <n v="3730.21"/>
    <s v="Medium Risk"/>
    <n v="18.651050000000001"/>
  </r>
  <r>
    <x v="3"/>
    <s v="Monthly"/>
    <s v="Real Estate"/>
    <s v="11-01"/>
    <n v="25"/>
    <n v="2295.4"/>
    <s v="Organic Search"/>
    <s v="North America"/>
    <d v="2023-08-13T00:00:00"/>
    <s v="Yes"/>
    <d v="2024-02-25T00:00:00"/>
    <s v="No Longer Needed"/>
    <n v="1"/>
    <n v="1"/>
    <n v="34"/>
    <s v="No"/>
    <n v="1"/>
    <n v="6"/>
    <n v="13772.400000000001"/>
    <s v="Medium Risk"/>
    <n v="68.862000000000009"/>
  </r>
  <r>
    <x v="1"/>
    <s v="Annual"/>
    <s v="Real Estate"/>
    <s v="500+"/>
    <n v="222"/>
    <n v="841.8"/>
    <s v="Referral"/>
    <s v="North America"/>
    <d v="2022-10-17T00:00:00"/>
    <s v="Yes"/>
    <d v="2024-12-05T00:00:00"/>
    <s v="Poor Support"/>
    <n v="8"/>
    <n v="2"/>
    <n v="47"/>
    <s v="No"/>
    <n v="1"/>
    <n v="25"/>
    <n v="21045"/>
    <s v="Medium Risk"/>
    <n v="105.22499999999999"/>
  </r>
  <r>
    <x v="1"/>
    <s v="Monthly"/>
    <s v="Retail"/>
    <s v="1-10"/>
    <n v="4"/>
    <n v="42.05"/>
    <s v="Referral"/>
    <s v="Latin America"/>
    <d v="2023-02-09T00:00:00"/>
    <s v="Yes"/>
    <d v="2023-08-27T00:00:00"/>
    <s v="Poor Support"/>
    <n v="5"/>
    <n v="3"/>
    <n v="10"/>
    <s v="No"/>
    <n v="1"/>
    <n v="6"/>
    <n v="252.29999999999998"/>
    <s v="High Risk"/>
    <n v="1.2614999999999998"/>
  </r>
  <r>
    <x v="2"/>
    <s v="Annual"/>
    <s v="Finance"/>
    <s v="51-200"/>
    <n v="48"/>
    <n v="1361.66"/>
    <s v="Paid Ads"/>
    <s v="Latin America"/>
    <d v="2022-12-11T00:00:00"/>
    <s v="Yes"/>
    <d v="2024-11-04T00:00:00"/>
    <s v="Company Closed"/>
    <n v="7"/>
    <n v="1"/>
    <n v="28"/>
    <s v="No"/>
    <n v="1"/>
    <n v="22"/>
    <n v="29956.52"/>
    <s v="High Risk"/>
    <n v="149.7826"/>
  </r>
  <r>
    <x v="1"/>
    <s v="Monthly"/>
    <s v="Education"/>
    <s v="11-01"/>
    <n v="6"/>
    <n v="50.75"/>
    <s v="Referral"/>
    <s v="Asia Pacific"/>
    <d v="2023-04-10T00:00:00"/>
    <s v="Yes"/>
    <d v="2023-06-09T00:00:00"/>
    <s v="Poor Support"/>
    <n v="5"/>
    <n v="3"/>
    <n v="18"/>
    <s v="No"/>
    <n v="1"/>
    <n v="1"/>
    <n v="50.75"/>
    <s v="High Risk"/>
    <n v="0.25374999999999998"/>
  </r>
  <r>
    <x v="1"/>
    <s v="Annual"/>
    <s v="Technology"/>
    <s v="51-200"/>
    <n v="44"/>
    <n v="183.64"/>
    <s v="Paid Ads"/>
    <s v="Europe"/>
    <d v="2024-11-01T00:00:00"/>
    <s v="Yes"/>
    <d v="2024-11-03T00:00:00"/>
    <s v="Price Too High"/>
    <n v="5"/>
    <n v="6"/>
    <n v="31"/>
    <s v="No"/>
    <n v="1"/>
    <n v="0"/>
    <n v="0"/>
    <s v="Medium Risk"/>
    <n v="0"/>
  </r>
  <r>
    <x v="2"/>
    <s v="Monthly"/>
    <s v="Consulting"/>
    <s v="500+"/>
    <n v="62"/>
    <n v="2019.85"/>
    <s v="Direct Sales"/>
    <s v="Europe"/>
    <d v="2025-06-08T00:00:00"/>
    <s v="Yes"/>
    <d v="2025-07-18T00:00:00"/>
    <s v="Company Closed"/>
    <n v="9"/>
    <n v="4"/>
    <n v="34"/>
    <s v="No"/>
    <n v="1"/>
    <n v="1"/>
    <n v="2019.85"/>
    <s v="Medium Risk"/>
    <n v="10.09925"/>
  </r>
  <r>
    <x v="2"/>
    <s v="Annual"/>
    <s v="Healthcare"/>
    <s v="1-10"/>
    <n v="8"/>
    <n v="346.76"/>
    <s v="Referral"/>
    <s v="Latin America"/>
    <d v="2025-12-01T00:00:00"/>
    <s v="No"/>
    <m/>
    <m/>
    <n v="1"/>
    <n v="10"/>
    <n v="50"/>
    <s v="No"/>
    <n v="0"/>
    <n v="5"/>
    <n v="1733.8"/>
    <s v="Medium Risk"/>
    <n v="8.6690000000000005"/>
  </r>
  <r>
    <x v="0"/>
    <s v="Annual"/>
    <s v="Real Estate"/>
    <s v="201-500"/>
    <n v="88"/>
    <n v="943.46"/>
    <s v="Paid Ads"/>
    <s v="North America"/>
    <d v="2023-08-13T00:00:00"/>
    <s v="Yes"/>
    <d v="2024-01-17T00:00:00"/>
    <s v="Switched Competitor"/>
    <n v="8"/>
    <n v="4"/>
    <n v="44"/>
    <s v="No"/>
    <n v="1"/>
    <n v="5"/>
    <n v="4717.3"/>
    <s v="Medium Risk"/>
    <n v="23.586500000000001"/>
  </r>
  <r>
    <x v="2"/>
    <s v="Annual"/>
    <s v="Healthcare"/>
    <s v="51-200"/>
    <n v="54"/>
    <n v="1513.89"/>
    <s v="Paid Ads"/>
    <s v="Asia Pacific"/>
    <d v="2024-04-05T00:00:00"/>
    <s v="No"/>
    <m/>
    <m/>
    <n v="10"/>
    <n v="10"/>
    <n v="33"/>
    <s v="Yes"/>
    <n v="0"/>
    <n v="24"/>
    <n v="36333.360000000001"/>
    <s v="Medium Risk"/>
    <n v="181.66679999999999"/>
  </r>
  <r>
    <x v="0"/>
    <s v="Monthly"/>
    <s v="Legal"/>
    <s v="51-200"/>
    <n v="58"/>
    <n v="754.45"/>
    <s v="Organic Search"/>
    <s v="North America"/>
    <d v="2023-06-28T00:00:00"/>
    <s v="No"/>
    <m/>
    <m/>
    <n v="11"/>
    <n v="5"/>
    <n v="84"/>
    <s v="No"/>
    <n v="0"/>
    <n v="34"/>
    <n v="25651.300000000003"/>
    <s v="Low Risk"/>
    <n v="128.25650000000002"/>
  </r>
  <r>
    <x v="2"/>
    <s v="Monthly"/>
    <s v="Education"/>
    <s v="1-10"/>
    <n v="5"/>
    <n v="318.39999999999998"/>
    <s v="Organic Search"/>
    <s v="Latin America"/>
    <d v="2023-10-24T00:00:00"/>
    <s v="No"/>
    <m/>
    <m/>
    <n v="9"/>
    <n v="9"/>
    <n v="59"/>
    <s v="Yes"/>
    <n v="0"/>
    <n v="30"/>
    <n v="9552"/>
    <s v="Medium Risk"/>
    <n v="47.76"/>
  </r>
  <r>
    <x v="1"/>
    <s v="Monthly"/>
    <s v="Real Estate"/>
    <s v="500+"/>
    <n v="254"/>
    <n v="1129.55"/>
    <s v="Referral"/>
    <s v="North America"/>
    <d v="2025-05-02T00:00:00"/>
    <s v="No"/>
    <m/>
    <m/>
    <n v="2"/>
    <n v="7"/>
    <n v="42"/>
    <s v="No"/>
    <n v="0"/>
    <n v="11"/>
    <n v="12425.05"/>
    <s v="Medium Risk"/>
    <n v="62.125249999999994"/>
  </r>
  <r>
    <x v="2"/>
    <s v="Monthly"/>
    <s v="Technology"/>
    <s v="51-200"/>
    <n v="30"/>
    <n v="1064.6500000000001"/>
    <s v="Paid Ads"/>
    <s v="Europe"/>
    <d v="2023-05-26T00:00:00"/>
    <s v="Yes"/>
    <d v="2024-03-13T00:00:00"/>
    <s v="Price Too High"/>
    <n v="10"/>
    <n v="3"/>
    <n v="44"/>
    <s v="No"/>
    <n v="1"/>
    <n v="9"/>
    <n v="9581.85"/>
    <s v="Medium Risk"/>
    <n v="47.90925"/>
  </r>
  <r>
    <x v="1"/>
    <s v="Monthly"/>
    <s v="Technology"/>
    <s v="1-10"/>
    <n v="5"/>
    <n v="46.4"/>
    <s v="Direct Sales"/>
    <s v="Asia Pacific"/>
    <d v="2023-10-17T00:00:00"/>
    <s v="No"/>
    <m/>
    <m/>
    <n v="0"/>
    <n v="9"/>
    <n v="46"/>
    <s v="No"/>
    <n v="0"/>
    <n v="30"/>
    <n v="1392"/>
    <s v="Medium Risk"/>
    <n v="6.96"/>
  </r>
  <r>
    <x v="2"/>
    <s v="Monthly"/>
    <s v="Education"/>
    <s v="11-01"/>
    <n v="31"/>
    <n v="1094.5"/>
    <s v="Paid Ads"/>
    <s v="North America"/>
    <d v="2025-01-01T00:00:00"/>
    <s v="No"/>
    <m/>
    <m/>
    <n v="1"/>
    <n v="9"/>
    <n v="69"/>
    <s v="No"/>
    <n v="0"/>
    <n v="16"/>
    <n v="17512"/>
    <s v="Low Risk"/>
    <n v="87.56"/>
  </r>
  <r>
    <x v="2"/>
    <s v="Monthly"/>
    <s v="Healthcare"/>
    <s v="500+"/>
    <n v="71"/>
    <n v="2288.5"/>
    <s v="Paid Ads"/>
    <s v="Europe"/>
    <d v="2024-02-12T00:00:00"/>
    <s v="Yes"/>
    <d v="2024-03-09T00:00:00"/>
    <s v="No Longer Needed"/>
    <n v="7"/>
    <n v="2"/>
    <n v="24"/>
    <s v="No"/>
    <n v="1"/>
    <n v="0"/>
    <n v="0"/>
    <s v="High Risk"/>
    <n v="0"/>
  </r>
  <r>
    <x v="0"/>
    <s v="Annual"/>
    <s v="Retail"/>
    <s v="11-01"/>
    <n v="8"/>
    <n v="137.66"/>
    <s v="Partner"/>
    <s v="North America"/>
    <d v="2025-12-28T00:00:00"/>
    <s v="No"/>
    <m/>
    <m/>
    <n v="0"/>
    <n v="8"/>
    <n v="38"/>
    <s v="No"/>
    <n v="0"/>
    <n v="4"/>
    <n v="550.64"/>
    <s v="Medium Risk"/>
    <n v="2.7532000000000001"/>
  </r>
  <r>
    <x v="2"/>
    <s v="Monthly"/>
    <s v="Legal"/>
    <s v="11-01"/>
    <n v="27"/>
    <n v="975.1"/>
    <s v="Partner"/>
    <s v="North America"/>
    <d v="2023-03-01T00:00:00"/>
    <s v="No"/>
    <m/>
    <m/>
    <n v="3"/>
    <n v="4"/>
    <n v="89"/>
    <s v="No"/>
    <n v="0"/>
    <n v="38"/>
    <n v="37053.800000000003"/>
    <s v="Low Risk"/>
    <n v="185.26900000000001"/>
  </r>
  <r>
    <x v="0"/>
    <s v="Monthly"/>
    <s v="Technology"/>
    <s v="11-01"/>
    <n v="12"/>
    <n v="209.35"/>
    <s v="Paid Ads"/>
    <s v="North America"/>
    <d v="2025-06-13T00:00:00"/>
    <s v="No"/>
    <m/>
    <m/>
    <n v="2"/>
    <n v="7"/>
    <n v="82"/>
    <s v="No"/>
    <n v="0"/>
    <n v="10"/>
    <n v="2093.5"/>
    <s v="Low Risk"/>
    <n v="10.467499999999999"/>
  </r>
  <r>
    <x v="1"/>
    <s v="Monthly"/>
    <s v="Retail"/>
    <s v="1-10"/>
    <n v="1"/>
    <n v="29"/>
    <s v="Direct Sales"/>
    <s v="Latin America"/>
    <d v="2023-09-24T00:00:00"/>
    <s v="Yes"/>
    <d v="2023-10-21T00:00:00"/>
    <s v="Company Closed"/>
    <n v="2"/>
    <n v="1"/>
    <n v="27"/>
    <s v="No"/>
    <n v="1"/>
    <n v="0"/>
    <n v="0"/>
    <s v="High Risk"/>
    <n v="0"/>
  </r>
  <r>
    <x v="1"/>
    <s v="Monthly"/>
    <s v="Media"/>
    <s v="1-10"/>
    <n v="1"/>
    <n v="29"/>
    <s v="Paid Ads"/>
    <s v="Europe"/>
    <d v="2025-07-09T00:00:00"/>
    <s v="Yes"/>
    <d v="2025-11-27T00:00:00"/>
    <s v="Budget Cuts"/>
    <n v="12"/>
    <n v="3"/>
    <n v="49"/>
    <s v="No"/>
    <n v="1"/>
    <n v="4"/>
    <n v="116"/>
    <s v="Medium Risk"/>
    <n v="0.57999999999999996"/>
  </r>
  <r>
    <x v="1"/>
    <s v="Monthly"/>
    <s v="Healthcare"/>
    <s v="11-01"/>
    <n v="8"/>
    <n v="59.45"/>
    <s v="Organic Search"/>
    <s v="Europe"/>
    <d v="2025-08-31T00:00:00"/>
    <s v="No"/>
    <m/>
    <m/>
    <n v="4"/>
    <n v="7"/>
    <n v="34"/>
    <s v="No"/>
    <n v="0"/>
    <n v="8"/>
    <n v="475.6"/>
    <s v="Medium Risk"/>
    <n v="2.3780000000000001"/>
  </r>
  <r>
    <x v="0"/>
    <s v="Annual"/>
    <s v="Education"/>
    <s v="1-10"/>
    <n v="4"/>
    <n v="97.37"/>
    <s v="Direct Sales"/>
    <s v="North America"/>
    <d v="2023-05-17T00:00:00"/>
    <s v="No"/>
    <m/>
    <m/>
    <n v="6"/>
    <n v="8"/>
    <n v="53"/>
    <s v="No"/>
    <n v="0"/>
    <n v="35"/>
    <n v="3407.9500000000003"/>
    <s v="Medium Risk"/>
    <n v="17.039750000000002"/>
  </r>
  <r>
    <x v="0"/>
    <s v="Annual"/>
    <s v="Legal"/>
    <s v="51-200"/>
    <n v="39"/>
    <n v="449.9"/>
    <s v="Direct Sales"/>
    <s v="Asia Pacific"/>
    <d v="2024-03-29T00:00:00"/>
    <s v="No"/>
    <m/>
    <m/>
    <n v="0"/>
    <n v="5"/>
    <n v="58"/>
    <s v="No"/>
    <n v="0"/>
    <n v="25"/>
    <n v="11247.5"/>
    <s v="Medium Risk"/>
    <n v="56.237499999999997"/>
  </r>
  <r>
    <x v="2"/>
    <s v="Annual"/>
    <s v="Manufacturing"/>
    <s v="201-500"/>
    <n v="73"/>
    <n v="1995.97"/>
    <s v="Referral"/>
    <s v="North America"/>
    <d v="2025-04-02T00:00:00"/>
    <s v="No"/>
    <m/>
    <m/>
    <n v="12"/>
    <n v="1"/>
    <n v="15"/>
    <s v="Yes"/>
    <n v="0"/>
    <n v="12"/>
    <n v="23951.64"/>
    <s v="High Risk"/>
    <n v="119.7582"/>
  </r>
  <r>
    <x v="0"/>
    <s v="Monthly"/>
    <s v="Real Estate"/>
    <s v="11-01"/>
    <n v="7"/>
    <n v="150.1"/>
    <s v="Partner"/>
    <s v="North America"/>
    <d v="2022-12-20T00:00:00"/>
    <s v="Yes"/>
    <d v="2023-11-02T00:00:00"/>
    <s v="Missing Features"/>
    <n v="5"/>
    <n v="2"/>
    <n v="12"/>
    <s v="No"/>
    <n v="1"/>
    <n v="10"/>
    <n v="1501"/>
    <s v="High Risk"/>
    <n v="7.5049999999999999"/>
  </r>
  <r>
    <x v="2"/>
    <s v="Annual"/>
    <s v="Finance"/>
    <s v="11-01"/>
    <n v="33"/>
    <n v="981.07"/>
    <s v="Partner"/>
    <s v="Asia Pacific"/>
    <d v="2023-02-07T00:00:00"/>
    <s v="No"/>
    <m/>
    <m/>
    <n v="1"/>
    <n v="8"/>
    <n v="89"/>
    <s v="No"/>
    <n v="0"/>
    <n v="38"/>
    <n v="37280.660000000003"/>
    <s v="Low Risk"/>
    <n v="186.40330000000003"/>
  </r>
  <r>
    <x v="1"/>
    <s v="Monthly"/>
    <s v="Education"/>
    <s v="1-10"/>
    <n v="3"/>
    <n v="37.700000000000003"/>
    <s v="Partner"/>
    <s v="Europe"/>
    <d v="2025-01-03T00:00:00"/>
    <s v="No"/>
    <m/>
    <m/>
    <n v="10"/>
    <n v="7"/>
    <n v="60"/>
    <s v="No"/>
    <n v="0"/>
    <n v="15"/>
    <n v="565.5"/>
    <s v="Low Risk"/>
    <n v="2.8275000000000001"/>
  </r>
  <r>
    <x v="0"/>
    <s v="Annual"/>
    <s v="Education"/>
    <s v="1-10"/>
    <n v="5"/>
    <n v="107.44"/>
    <s v="Direct Sales"/>
    <s v="Europe"/>
    <d v="2025-06-09T00:00:00"/>
    <s v="No"/>
    <m/>
    <m/>
    <n v="2"/>
    <n v="9"/>
    <n v="82"/>
    <s v="No"/>
    <n v="0"/>
    <n v="10"/>
    <n v="1074.4000000000001"/>
    <s v="Low Risk"/>
    <n v="5.3720000000000008"/>
  </r>
  <r>
    <x v="0"/>
    <s v="Monthly"/>
    <s v="Education"/>
    <s v="11-01"/>
    <n v="5"/>
    <n v="126.4"/>
    <s v="Social Media"/>
    <s v="North America"/>
    <d v="2022-07-06T00:00:00"/>
    <s v="Yes"/>
    <d v="2022-10-08T00:00:00"/>
    <s v="No Longer Needed"/>
    <n v="1"/>
    <n v="2"/>
    <n v="17"/>
    <s v="No"/>
    <n v="1"/>
    <n v="3"/>
    <n v="379.20000000000005"/>
    <s v="High Risk"/>
    <n v="1.8960000000000001"/>
  </r>
  <r>
    <x v="1"/>
    <s v="Annual"/>
    <s v="Real Estate"/>
    <s v="51-200"/>
    <n v="59"/>
    <n v="239.1"/>
    <s v="Paid Ads"/>
    <s v="North America"/>
    <d v="2025-10-18T00:00:00"/>
    <s v="No"/>
    <m/>
    <m/>
    <n v="12"/>
    <n v="9"/>
    <n v="72"/>
    <s v="No"/>
    <n v="0"/>
    <n v="6"/>
    <n v="1434.6"/>
    <s v="Low Risk"/>
    <n v="7.1729999999999992"/>
  </r>
  <r>
    <x v="0"/>
    <s v="Monthly"/>
    <s v="Education"/>
    <s v="1-10"/>
    <n v="1"/>
    <n v="79"/>
    <s v="Direct Sales"/>
    <s v="Europe"/>
    <d v="2025-12-24T00:00:00"/>
    <s v="No"/>
    <m/>
    <m/>
    <n v="11"/>
    <n v="5"/>
    <n v="84"/>
    <s v="No"/>
    <n v="0"/>
    <n v="4"/>
    <n v="316"/>
    <s v="Low Risk"/>
    <n v="1.58"/>
  </r>
  <r>
    <x v="2"/>
    <s v="Annual"/>
    <s v="Finance"/>
    <s v="51-200"/>
    <n v="35"/>
    <n v="1031.82"/>
    <s v="Paid Ads"/>
    <s v="Europe"/>
    <d v="2024-04-27T00:00:00"/>
    <s v="No"/>
    <m/>
    <m/>
    <n v="4"/>
    <n v="8"/>
    <n v="41"/>
    <s v="No"/>
    <n v="0"/>
    <n v="24"/>
    <n v="24763.68"/>
    <s v="Medium Risk"/>
    <n v="123.8184"/>
  </r>
  <r>
    <x v="1"/>
    <s v="Annual"/>
    <s v="Healthcare"/>
    <s v="201-500"/>
    <n v="112"/>
    <n v="435.07"/>
    <s v="Referral"/>
    <s v="Latin America"/>
    <d v="2022-10-27T00:00:00"/>
    <s v="Yes"/>
    <d v="2023-06-19T00:00:00"/>
    <s v="Switched Competitor"/>
    <n v="12"/>
    <n v="1"/>
    <n v="34"/>
    <s v="No"/>
    <n v="1"/>
    <n v="7"/>
    <n v="3045.49"/>
    <s v="Medium Risk"/>
    <n v="15.227449999999999"/>
  </r>
  <r>
    <x v="3"/>
    <s v="Annual"/>
    <s v="Technology"/>
    <s v="11-01"/>
    <n v="10"/>
    <n v="996.75"/>
    <s v="Referral"/>
    <s v="North America"/>
    <d v="2024-05-12T00:00:00"/>
    <s v="No"/>
    <m/>
    <m/>
    <n v="3"/>
    <n v="1"/>
    <n v="64"/>
    <s v="No"/>
    <n v="0"/>
    <n v="23"/>
    <n v="22925.25"/>
    <s v="Low Risk"/>
    <n v="114.62625"/>
  </r>
  <r>
    <x v="2"/>
    <s v="Annual"/>
    <s v="Media"/>
    <s v="1-10"/>
    <n v="3"/>
    <n v="219.9"/>
    <s v="Paid Ads"/>
    <s v="Europe"/>
    <d v="2025-12-19T00:00:00"/>
    <s v="No"/>
    <m/>
    <m/>
    <n v="8"/>
    <n v="2"/>
    <n v="45"/>
    <s v="No"/>
    <n v="0"/>
    <n v="4"/>
    <n v="879.6"/>
    <s v="Medium Risk"/>
    <n v="4.3979999999999997"/>
  </r>
  <r>
    <x v="0"/>
    <s v="Monthly"/>
    <s v="Real Estate"/>
    <s v="1-10"/>
    <n v="5"/>
    <n v="126.4"/>
    <s v="Direct Sales"/>
    <s v="North America"/>
    <d v="2024-10-12T00:00:00"/>
    <s v="Yes"/>
    <d v="2025-04-09T00:00:00"/>
    <s v="Budget Cuts"/>
    <n v="4"/>
    <n v="1"/>
    <n v="21"/>
    <s v="No"/>
    <n v="1"/>
    <n v="5"/>
    <n v="632"/>
    <s v="High Risk"/>
    <n v="3.16"/>
  </r>
  <r>
    <x v="2"/>
    <s v="Annual"/>
    <s v="Real Estate"/>
    <s v="51-200"/>
    <n v="62"/>
    <n v="1716.87"/>
    <s v="Paid Ads"/>
    <s v="North America"/>
    <d v="2023-09-22T00:00:00"/>
    <s v="Yes"/>
    <d v="2025-06-03T00:00:00"/>
    <s v="No Longer Needed"/>
    <n v="10"/>
    <n v="4"/>
    <n v="28"/>
    <s v="No"/>
    <n v="1"/>
    <n v="20"/>
    <n v="34337.399999999994"/>
    <s v="High Risk"/>
    <n v="171.68699999999998"/>
  </r>
  <r>
    <x v="1"/>
    <s v="Annual"/>
    <s v="Real Estate"/>
    <s v="11-01"/>
    <n v="5"/>
    <n v="39.44"/>
    <s v="Partner"/>
    <s v="Asia Pacific"/>
    <d v="2022-08-31T00:00:00"/>
    <s v="Yes"/>
    <d v="2022-12-25T00:00:00"/>
    <s v="Poor Support"/>
    <n v="12"/>
    <n v="1"/>
    <n v="44"/>
    <s v="No"/>
    <n v="1"/>
    <n v="3"/>
    <n v="118.32"/>
    <s v="Medium Risk"/>
    <n v="0.59160000000000001"/>
  </r>
  <r>
    <x v="1"/>
    <s v="Monthly"/>
    <s v="Finance"/>
    <s v="51-200"/>
    <n v="48"/>
    <n v="233.45"/>
    <s v="Direct Sales"/>
    <s v="North America"/>
    <d v="2025-07-04T00:00:00"/>
    <s v="No"/>
    <m/>
    <m/>
    <n v="0"/>
    <n v="7"/>
    <n v="40"/>
    <s v="No"/>
    <n v="0"/>
    <n v="9"/>
    <n v="2101.0499999999997"/>
    <s v="Medium Risk"/>
    <n v="10.505249999999998"/>
  </r>
  <r>
    <x v="0"/>
    <s v="Annual"/>
    <s v="Real Estate"/>
    <s v="11-01"/>
    <n v="7"/>
    <n v="127.59"/>
    <s v="Referral"/>
    <s v="Europe"/>
    <d v="2022-11-15T00:00:00"/>
    <s v="Yes"/>
    <d v="2023-02-07T00:00:00"/>
    <s v="Missing Features"/>
    <n v="1"/>
    <n v="5"/>
    <n v="45"/>
    <s v="No"/>
    <n v="1"/>
    <n v="2"/>
    <n v="255.18"/>
    <s v="Medium Risk"/>
    <n v="1.2759"/>
  </r>
  <r>
    <x v="0"/>
    <s v="Annual"/>
    <s v="Real Estate"/>
    <s v="1-10"/>
    <n v="1"/>
    <n v="67.150000000000006"/>
    <s v="Paid Ads"/>
    <s v="North America"/>
    <d v="2025-12-28T00:00:00"/>
    <s v="No"/>
    <m/>
    <m/>
    <n v="11"/>
    <n v="6"/>
    <n v="30"/>
    <s v="No"/>
    <n v="0"/>
    <n v="4"/>
    <n v="268.60000000000002"/>
    <s v="Medium Risk"/>
    <n v="1.3430000000000002"/>
  </r>
  <r>
    <x v="0"/>
    <s v="Annual"/>
    <s v="Real Estate"/>
    <s v="1-10"/>
    <n v="2"/>
    <n v="77.22"/>
    <s v="Organic Search"/>
    <s v="Latin America"/>
    <d v="2025-06-14T00:00:00"/>
    <s v="No"/>
    <m/>
    <m/>
    <n v="1"/>
    <n v="3"/>
    <n v="15"/>
    <s v="No"/>
    <n v="0"/>
    <n v="10"/>
    <n v="772.2"/>
    <s v="High Risk"/>
    <n v="3.8610000000000002"/>
  </r>
  <r>
    <x v="0"/>
    <s v="Monthly"/>
    <s v="Technology"/>
    <s v="51-200"/>
    <n v="67"/>
    <n v="861.1"/>
    <s v="Direct Sales"/>
    <s v="Asia Pacific"/>
    <d v="2025-06-14T00:00:00"/>
    <s v="No"/>
    <m/>
    <m/>
    <n v="11"/>
    <n v="8"/>
    <n v="76"/>
    <s v="No"/>
    <n v="0"/>
    <n v="10"/>
    <n v="8611"/>
    <s v="Low Risk"/>
    <n v="43.055"/>
  </r>
  <r>
    <x v="2"/>
    <s v="Monthly"/>
    <s v="Retail"/>
    <s v="1-10"/>
    <n v="3"/>
    <n v="258.7"/>
    <s v="Paid Ads"/>
    <s v="Europe"/>
    <d v="2022-02-17T00:00:00"/>
    <s v="Yes"/>
    <d v="2024-06-28T00:00:00"/>
    <s v="Poor Support"/>
    <n v="1"/>
    <n v="1"/>
    <n v="11"/>
    <s v="No"/>
    <n v="1"/>
    <n v="28"/>
    <n v="7243.5999999999995"/>
    <s v="High Risk"/>
    <n v="36.217999999999996"/>
  </r>
  <r>
    <x v="1"/>
    <s v="Monthly"/>
    <s v="Healthcare"/>
    <s v="11-01"/>
    <n v="10"/>
    <n v="68.150000000000006"/>
    <s v="Paid Ads"/>
    <s v="North America"/>
    <d v="2023-11-06T00:00:00"/>
    <s v="Yes"/>
    <d v="2025-03-21T00:00:00"/>
    <s v="Missing Features"/>
    <n v="2"/>
    <n v="1"/>
    <n v="21"/>
    <s v="No"/>
    <n v="1"/>
    <n v="16"/>
    <n v="1090.4000000000001"/>
    <s v="High Risk"/>
    <n v="5.4520000000000008"/>
  </r>
  <r>
    <x v="2"/>
    <s v="Monthly"/>
    <s v="Manufacturing"/>
    <s v="11-01"/>
    <n v="5"/>
    <n v="318.39999999999998"/>
    <s v="Organic Search"/>
    <s v="Europe"/>
    <d v="2023-02-08T00:00:00"/>
    <s v="Yes"/>
    <d v="2023-02-16T00:00:00"/>
    <s v="Company Closed"/>
    <n v="8"/>
    <n v="6"/>
    <n v="34"/>
    <s v="No"/>
    <n v="1"/>
    <n v="0"/>
    <n v="0"/>
    <s v="Medium Risk"/>
    <n v="0"/>
  </r>
  <r>
    <x v="3"/>
    <s v="Monthly"/>
    <s v="Legal"/>
    <s v="201-500"/>
    <n v="112"/>
    <n v="8807.35"/>
    <s v="Organic Search"/>
    <s v="Europe"/>
    <d v="2024-06-21T00:00:00"/>
    <s v="No"/>
    <m/>
    <m/>
    <n v="2"/>
    <n v="2"/>
    <n v="61"/>
    <s v="No"/>
    <n v="0"/>
    <n v="22"/>
    <n v="193761.7"/>
    <s v="Low Risk"/>
    <n v="968.80850000000009"/>
  </r>
  <r>
    <x v="0"/>
    <s v="Annual"/>
    <s v="Education"/>
    <s v="11-01"/>
    <n v="27"/>
    <n v="329.03"/>
    <s v="Paid Ads"/>
    <s v="North America"/>
    <d v="2024-10-02T00:00:00"/>
    <s v="No"/>
    <m/>
    <m/>
    <n v="8"/>
    <n v="6"/>
    <n v="80"/>
    <s v="No"/>
    <n v="0"/>
    <n v="18"/>
    <n v="5922.5399999999991"/>
    <s v="Low Risk"/>
    <n v="29.612699999999997"/>
  </r>
  <r>
    <x v="1"/>
    <s v="Annual"/>
    <s v="Education"/>
    <s v="11-01"/>
    <n v="6"/>
    <n v="43.14"/>
    <s v="Paid Ads"/>
    <s v="North America"/>
    <d v="2022-02-22T00:00:00"/>
    <s v="Yes"/>
    <d v="2022-08-11T00:00:00"/>
    <s v="Company Closed"/>
    <n v="6"/>
    <n v="1"/>
    <n v="21"/>
    <s v="No"/>
    <n v="1"/>
    <n v="5"/>
    <n v="215.7"/>
    <s v="High Risk"/>
    <n v="1.0785"/>
  </r>
  <r>
    <x v="2"/>
    <s v="Monthly"/>
    <s v="Legal"/>
    <s v="11-01"/>
    <n v="29"/>
    <n v="1034.8"/>
    <s v="Organic Search"/>
    <s v="Europe"/>
    <d v="2023-05-26T00:00:00"/>
    <s v="Yes"/>
    <d v="2023-06-18T00:00:00"/>
    <s v="Poor Support"/>
    <n v="7"/>
    <n v="3"/>
    <n v="32"/>
    <s v="No"/>
    <n v="1"/>
    <n v="0"/>
    <n v="0"/>
    <s v="Medium Risk"/>
    <n v="0"/>
  </r>
  <r>
    <x v="0"/>
    <s v="Annual"/>
    <s v="Finance"/>
    <s v="1-10"/>
    <n v="2"/>
    <n v="77.22"/>
    <s v="Organic Search"/>
    <s v="Europe"/>
    <d v="2023-09-13T00:00:00"/>
    <s v="Yes"/>
    <d v="2025-03-29T00:00:00"/>
    <s v="Budget Cuts"/>
    <n v="7"/>
    <n v="1"/>
    <n v="30"/>
    <s v="No"/>
    <n v="1"/>
    <n v="18"/>
    <n v="1389.96"/>
    <s v="Medium Risk"/>
    <n v="6.9497999999999998"/>
  </r>
  <r>
    <x v="1"/>
    <s v="Monthly"/>
    <s v="Healthcare"/>
    <s v="51-200"/>
    <n v="25"/>
    <n v="133.4"/>
    <s v="Partner"/>
    <s v="Asia Pacific"/>
    <d v="2024-11-29T00:00:00"/>
    <s v="Yes"/>
    <d v="2025-01-28T00:00:00"/>
    <s v="Budget Cuts"/>
    <n v="10"/>
    <n v="4"/>
    <n v="29"/>
    <s v="No"/>
    <n v="1"/>
    <n v="1"/>
    <n v="133.4"/>
    <s v="High Risk"/>
    <n v="0.66700000000000004"/>
  </r>
  <r>
    <x v="1"/>
    <s v="Monthly"/>
    <s v="Real Estate"/>
    <s v="1-10"/>
    <n v="7"/>
    <n v="55.1"/>
    <s v="Social Media"/>
    <s v="Europe"/>
    <d v="2024-07-12T00:00:00"/>
    <s v="Yes"/>
    <d v="2025-10-03T00:00:00"/>
    <s v="Missing Features"/>
    <n v="8"/>
    <n v="3"/>
    <n v="50"/>
    <s v="No"/>
    <n v="1"/>
    <n v="14"/>
    <n v="771.4"/>
    <s v="Medium Risk"/>
    <n v="3.8569999999999998"/>
  </r>
  <r>
    <x v="2"/>
    <s v="Annual"/>
    <s v="Education"/>
    <s v="1-10"/>
    <n v="7"/>
    <n v="321.38"/>
    <s v="Partner"/>
    <s v="North America"/>
    <d v="2022-09-21T00:00:00"/>
    <s v="No"/>
    <m/>
    <m/>
    <n v="2"/>
    <n v="6"/>
    <n v="84"/>
    <s v="No"/>
    <n v="0"/>
    <n v="43"/>
    <n v="13819.34"/>
    <s v="Low Risk"/>
    <n v="69.096699999999998"/>
  </r>
  <r>
    <x v="0"/>
    <s v="Monthly"/>
    <s v="Consulting"/>
    <s v="11-01"/>
    <n v="24"/>
    <n v="351.55"/>
    <s v="Referral"/>
    <s v="Asia Pacific"/>
    <d v="2023-07-30T00:00:00"/>
    <s v="Yes"/>
    <d v="2025-05-02T00:00:00"/>
    <s v="No Longer Needed"/>
    <n v="15"/>
    <n v="5"/>
    <n v="26"/>
    <s v="No"/>
    <n v="1"/>
    <n v="21"/>
    <n v="7382.55"/>
    <s v="High Risk"/>
    <n v="36.912750000000003"/>
  </r>
  <r>
    <x v="3"/>
    <s v="Monthly"/>
    <s v="Media"/>
    <s v="1-10"/>
    <n v="6"/>
    <n v="873.25"/>
    <s v="Referral"/>
    <s v="North America"/>
    <d v="2022-03-27T00:00:00"/>
    <s v="Yes"/>
    <d v="2025-02-22T00:00:00"/>
    <s v="Company Closed"/>
    <n v="11"/>
    <n v="3"/>
    <n v="19"/>
    <s v="No"/>
    <n v="1"/>
    <n v="34"/>
    <n v="29690.5"/>
    <s v="High Risk"/>
    <n v="148.45249999999999"/>
  </r>
  <r>
    <x v="1"/>
    <s v="Monthly"/>
    <s v="Manufacturing"/>
    <s v="201-500"/>
    <n v="121"/>
    <n v="551"/>
    <s v="Social Media"/>
    <s v="Europe"/>
    <d v="2024-06-01T00:00:00"/>
    <s v="Yes"/>
    <d v="2025-04-06T00:00:00"/>
    <s v="Price Too High"/>
    <n v="2"/>
    <n v="6"/>
    <n v="23"/>
    <s v="No"/>
    <n v="1"/>
    <n v="10"/>
    <n v="5510"/>
    <s v="High Risk"/>
    <n v="27.55"/>
  </r>
  <r>
    <x v="0"/>
    <s v="Monthly"/>
    <s v="Finance"/>
    <s v="1-10"/>
    <n v="4"/>
    <n v="114.55"/>
    <s v="Referral"/>
    <s v="Europe"/>
    <d v="2022-12-04T00:00:00"/>
    <s v="Yes"/>
    <d v="2025-03-31T00:00:00"/>
    <s v="Company Closed"/>
    <n v="15"/>
    <n v="1"/>
    <n v="27"/>
    <s v="No"/>
    <n v="1"/>
    <n v="27"/>
    <n v="3092.85"/>
    <s v="High Risk"/>
    <n v="15.46425"/>
  </r>
  <r>
    <x v="1"/>
    <s v="Annual"/>
    <s v="Finance"/>
    <s v="51-200"/>
    <n v="73"/>
    <n v="290.87"/>
    <s v="Organic Search"/>
    <s v="North America"/>
    <d v="2025-10-06T00:00:00"/>
    <s v="No"/>
    <m/>
    <m/>
    <n v="3"/>
    <n v="7"/>
    <n v="57"/>
    <s v="No"/>
    <n v="0"/>
    <n v="6"/>
    <n v="1745.22"/>
    <s v="Medium Risk"/>
    <n v="8.7261000000000006"/>
  </r>
  <r>
    <x v="2"/>
    <s v="Monthly"/>
    <s v="Retail"/>
    <s v="500+"/>
    <n v="199"/>
    <n v="6109.3"/>
    <s v="Partner"/>
    <s v="North America"/>
    <d v="2022-05-30T00:00:00"/>
    <s v="Yes"/>
    <d v="2025-09-19T00:00:00"/>
    <s v="Missing Features"/>
    <n v="13"/>
    <n v="4"/>
    <n v="26"/>
    <s v="No"/>
    <n v="1"/>
    <n v="39"/>
    <n v="238262.7"/>
    <s v="High Risk"/>
    <n v="1191.3135"/>
  </r>
  <r>
    <x v="2"/>
    <s v="Monthly"/>
    <s v="Healthcare"/>
    <s v="11-01"/>
    <n v="21"/>
    <n v="796"/>
    <s v="Paid Ads"/>
    <s v="Asia Pacific"/>
    <d v="2022-08-10T00:00:00"/>
    <s v="Yes"/>
    <d v="2023-12-09T00:00:00"/>
    <s v="No Longer Needed"/>
    <n v="4"/>
    <n v="1"/>
    <n v="13"/>
    <s v="No"/>
    <n v="1"/>
    <n v="15"/>
    <n v="11940"/>
    <s v="High Risk"/>
    <n v="59.7"/>
  </r>
  <r>
    <x v="1"/>
    <s v="Annual"/>
    <s v="Finance"/>
    <s v="1-10"/>
    <n v="4"/>
    <n v="35.74"/>
    <s v="Referral"/>
    <s v="Europe"/>
    <d v="2023-06-27T00:00:00"/>
    <s v="Yes"/>
    <d v="2023-09-11T00:00:00"/>
    <s v="Price Too High"/>
    <n v="1"/>
    <n v="1"/>
    <n v="39"/>
    <s v="No"/>
    <n v="1"/>
    <n v="2"/>
    <n v="71.48"/>
    <s v="Medium Risk"/>
    <n v="0.3574"/>
  </r>
  <r>
    <x v="3"/>
    <s v="Monthly"/>
    <s v="Legal"/>
    <s v="1-10"/>
    <n v="4"/>
    <n v="723.55"/>
    <s v="Paid Ads"/>
    <s v="North America"/>
    <d v="2024-02-03T00:00:00"/>
    <s v="No"/>
    <m/>
    <m/>
    <n v="0"/>
    <n v="6"/>
    <n v="47"/>
    <s v="No"/>
    <n v="0"/>
    <n v="26"/>
    <n v="18812.3"/>
    <s v="Medium Risk"/>
    <n v="94.061499999999995"/>
  </r>
  <r>
    <x v="2"/>
    <s v="Annual"/>
    <s v="Education"/>
    <s v="11-01"/>
    <n v="5"/>
    <n v="270.64"/>
    <s v="Social Media"/>
    <s v="Europe"/>
    <d v="2025-12-24T00:00:00"/>
    <s v="No"/>
    <m/>
    <m/>
    <n v="3"/>
    <n v="5"/>
    <n v="48"/>
    <s v="No"/>
    <n v="0"/>
    <n v="4"/>
    <n v="1082.56"/>
    <s v="Medium Risk"/>
    <n v="5.4127999999999998"/>
  </r>
  <r>
    <x v="2"/>
    <s v="Monthly"/>
    <s v="Education"/>
    <s v="11-01"/>
    <n v="15"/>
    <n v="616.9"/>
    <s v="Referral"/>
    <s v="North America"/>
    <d v="2025-03-06T00:00:00"/>
    <s v="No"/>
    <m/>
    <m/>
    <n v="11"/>
    <n v="10"/>
    <n v="37"/>
    <s v="No"/>
    <n v="0"/>
    <n v="13"/>
    <n v="8019.7"/>
    <s v="Medium Risk"/>
    <n v="40.098500000000001"/>
  </r>
  <r>
    <x v="0"/>
    <s v="Monthly"/>
    <s v="Media"/>
    <s v="51-200"/>
    <n v="71"/>
    <n v="908.5"/>
    <s v="Referral"/>
    <s v="North America"/>
    <d v="2025-11-28T00:00:00"/>
    <s v="No"/>
    <m/>
    <m/>
    <n v="4"/>
    <n v="5"/>
    <n v="70"/>
    <s v="No"/>
    <n v="0"/>
    <n v="5"/>
    <n v="4542.5"/>
    <s v="Low Risk"/>
    <n v="22.712499999999999"/>
  </r>
  <r>
    <x v="1"/>
    <s v="Annual"/>
    <s v="Education"/>
    <s v="500+"/>
    <n v="144"/>
    <n v="553.39"/>
    <s v="Partner"/>
    <s v="North America"/>
    <d v="2023-07-30T00:00:00"/>
    <s v="Yes"/>
    <d v="2024-01-28T00:00:00"/>
    <s v="Company Closed"/>
    <n v="6"/>
    <n v="3"/>
    <n v="45"/>
    <s v="No"/>
    <n v="1"/>
    <n v="5"/>
    <n v="2766.95"/>
    <s v="Medium Risk"/>
    <n v="13.83475"/>
  </r>
  <r>
    <x v="0"/>
    <s v="Annual"/>
    <s v="Retail"/>
    <s v="11-01"/>
    <n v="32"/>
    <n v="379.4"/>
    <s v="Referral"/>
    <s v="Europe"/>
    <d v="2024-10-28T00:00:00"/>
    <s v="No"/>
    <m/>
    <m/>
    <n v="5"/>
    <n v="9"/>
    <n v="36"/>
    <s v="No"/>
    <n v="0"/>
    <n v="18"/>
    <n v="6829.2"/>
    <s v="Medium Risk"/>
    <n v="34.146000000000001"/>
  </r>
  <r>
    <x v="3"/>
    <s v="Annual"/>
    <s v="Real Estate"/>
    <s v="11-01"/>
    <n v="23"/>
    <n v="1823.84"/>
    <s v="Organic Search"/>
    <s v="Latin America"/>
    <d v="2025-01-20T00:00:00"/>
    <s v="No"/>
    <m/>
    <m/>
    <n v="10"/>
    <n v="7"/>
    <n v="16"/>
    <s v="No"/>
    <n v="0"/>
    <n v="15"/>
    <n v="27357.599999999999"/>
    <s v="High Risk"/>
    <n v="136.78799999999998"/>
  </r>
  <r>
    <x v="1"/>
    <s v="Monthly"/>
    <s v="Retail"/>
    <s v="11-01"/>
    <n v="15"/>
    <n v="89.9"/>
    <s v="Organic Search"/>
    <s v="Europe"/>
    <d v="2025-04-12T00:00:00"/>
    <s v="Yes"/>
    <d v="2025-05-08T00:00:00"/>
    <s v="Budget Cuts"/>
    <n v="14"/>
    <n v="3"/>
    <n v="26"/>
    <s v="No"/>
    <n v="1"/>
    <n v="0"/>
    <n v="0"/>
    <s v="High Risk"/>
    <n v="0"/>
  </r>
  <r>
    <x v="2"/>
    <s v="Monthly"/>
    <s v="Technology"/>
    <s v="51-200"/>
    <n v="49"/>
    <n v="1631.8"/>
    <s v="Referral"/>
    <s v="North America"/>
    <d v="2022-05-12T00:00:00"/>
    <s v="Yes"/>
    <d v="2023-08-04T00:00:00"/>
    <s v="Budget Cuts"/>
    <n v="10"/>
    <n v="6"/>
    <n v="16"/>
    <s v="No"/>
    <n v="1"/>
    <n v="14"/>
    <n v="22845.200000000001"/>
    <s v="High Risk"/>
    <n v="114.226"/>
  </r>
  <r>
    <x v="1"/>
    <s v="Monthly"/>
    <s v="Technology"/>
    <s v="11-01"/>
    <n v="26"/>
    <n v="137.75"/>
    <s v="Organic Search"/>
    <s v="Latin America"/>
    <d v="2024-11-08T00:00:00"/>
    <s v="Yes"/>
    <d v="2025-08-25T00:00:00"/>
    <s v="No Longer Needed"/>
    <n v="12"/>
    <n v="2"/>
    <n v="26"/>
    <s v="No"/>
    <n v="1"/>
    <n v="9"/>
    <n v="1239.75"/>
    <s v="High Risk"/>
    <n v="6.1987500000000004"/>
  </r>
  <r>
    <x v="2"/>
    <s v="Annual"/>
    <s v="Manufacturing"/>
    <s v="11-01"/>
    <n v="35"/>
    <n v="1031.82"/>
    <s v="Partner"/>
    <s v="North America"/>
    <d v="2025-04-21T00:00:00"/>
    <s v="No"/>
    <m/>
    <m/>
    <n v="2"/>
    <n v="6"/>
    <n v="70"/>
    <s v="Yes"/>
    <n v="0"/>
    <n v="12"/>
    <n v="12381.84"/>
    <s v="Low Risk"/>
    <n v="61.909199999999998"/>
  </r>
  <r>
    <x v="1"/>
    <s v="Annual"/>
    <s v="Finance"/>
    <s v="51-200"/>
    <n v="54"/>
    <n v="220.62"/>
    <s v="Referral"/>
    <s v="Asia Pacific"/>
    <d v="2022-03-10T00:00:00"/>
    <s v="Yes"/>
    <d v="2022-11-09T00:00:00"/>
    <s v="Company Closed"/>
    <n v="3"/>
    <n v="2"/>
    <n v="33"/>
    <s v="No"/>
    <n v="1"/>
    <n v="7"/>
    <n v="1544.3400000000001"/>
    <s v="Medium Risk"/>
    <n v="7.7217000000000011"/>
  </r>
  <r>
    <x v="1"/>
    <s v="Monthly"/>
    <s v="Education"/>
    <s v="500+"/>
    <n v="56"/>
    <n v="268.25"/>
    <s v="Referral"/>
    <s v="Latin America"/>
    <d v="2023-05-12T00:00:00"/>
    <s v="Yes"/>
    <d v="2023-07-04T00:00:00"/>
    <s v="Switched Competitor"/>
    <n v="12"/>
    <n v="2"/>
    <n v="17"/>
    <s v="No"/>
    <n v="1"/>
    <n v="1"/>
    <n v="268.25"/>
    <s v="High Risk"/>
    <n v="1.3412500000000001"/>
  </r>
  <r>
    <x v="2"/>
    <s v="Monthly"/>
    <s v="Education"/>
    <s v="11-01"/>
    <n v="27"/>
    <n v="975.1"/>
    <s v="Referral"/>
    <s v="Asia Pacific"/>
    <d v="2024-08-26T00:00:00"/>
    <s v="Yes"/>
    <d v="2025-04-07T00:00:00"/>
    <s v="Switched Competitor"/>
    <n v="9"/>
    <n v="2"/>
    <n v="24"/>
    <s v="No"/>
    <n v="1"/>
    <n v="7"/>
    <n v="6825.7"/>
    <s v="High Risk"/>
    <n v="34.128500000000003"/>
  </r>
  <r>
    <x v="0"/>
    <s v="Monthly"/>
    <s v="Education"/>
    <s v="11-01"/>
    <n v="25"/>
    <n v="363.4"/>
    <s v="Paid Ads"/>
    <s v="North America"/>
    <d v="2025-09-23T00:00:00"/>
    <s v="No"/>
    <m/>
    <m/>
    <n v="6"/>
    <n v="4"/>
    <n v="30"/>
    <s v="No"/>
    <n v="0"/>
    <n v="7"/>
    <n v="2543.7999999999997"/>
    <s v="Medium Risk"/>
    <n v="12.718999999999999"/>
  </r>
  <r>
    <x v="1"/>
    <s v="Annual"/>
    <s v="Consulting"/>
    <s v="51-200"/>
    <n v="26"/>
    <n v="117.09"/>
    <s v="Referral"/>
    <s v="Europe"/>
    <d v="2023-01-17T00:00:00"/>
    <s v="Yes"/>
    <d v="2023-06-08T00:00:00"/>
    <s v="Budget Cuts"/>
    <n v="15"/>
    <n v="2"/>
    <n v="36"/>
    <s v="No"/>
    <n v="1"/>
    <n v="4"/>
    <n v="468.36"/>
    <s v="Medium Risk"/>
    <n v="2.3418000000000001"/>
  </r>
  <r>
    <x v="0"/>
    <s v="Annual"/>
    <s v="Education"/>
    <s v="1-10"/>
    <n v="8"/>
    <n v="137.66"/>
    <s v="Referral"/>
    <s v="North America"/>
    <d v="2024-01-20T00:00:00"/>
    <s v="Yes"/>
    <d v="2024-02-01T00:00:00"/>
    <s v="Company Closed"/>
    <n v="6"/>
    <n v="5"/>
    <n v="13"/>
    <s v="No"/>
    <n v="1"/>
    <n v="0"/>
    <n v="0"/>
    <s v="High Risk"/>
    <n v="0"/>
  </r>
  <r>
    <x v="2"/>
    <s v="Monthly"/>
    <s v="Finance"/>
    <s v="201-500"/>
    <n v="68"/>
    <n v="2198.9499999999998"/>
    <s v="Paid Ads"/>
    <s v="Latin America"/>
    <d v="2024-01-27T00:00:00"/>
    <s v="Yes"/>
    <d v="2024-06-19T00:00:00"/>
    <s v="Budget Cuts"/>
    <n v="15"/>
    <n v="1"/>
    <n v="19"/>
    <s v="No"/>
    <n v="1"/>
    <n v="4"/>
    <n v="8795.7999999999993"/>
    <s v="High Risk"/>
    <n v="43.978999999999999"/>
  </r>
  <r>
    <x v="3"/>
    <s v="Monthly"/>
    <s v="Finance"/>
    <s v="1-10"/>
    <n v="2"/>
    <n v="573.85"/>
    <s v="Organic Search"/>
    <s v="North America"/>
    <d v="2022-04-01T00:00:00"/>
    <s v="No"/>
    <m/>
    <m/>
    <n v="7"/>
    <n v="8"/>
    <n v="28"/>
    <s v="No"/>
    <n v="0"/>
    <n v="49"/>
    <n v="28118.65"/>
    <s v="High Risk"/>
    <n v="140.59325000000001"/>
  </r>
  <r>
    <x v="2"/>
    <s v="Monthly"/>
    <s v="Education"/>
    <s v="51-200"/>
    <n v="42"/>
    <n v="1422.85"/>
    <s v="Partner"/>
    <s v="Europe"/>
    <d v="2024-11-16T00:00:00"/>
    <s v="No"/>
    <m/>
    <m/>
    <n v="10"/>
    <n v="2"/>
    <n v="17"/>
    <s v="No"/>
    <n v="0"/>
    <n v="17"/>
    <n v="24188.449999999997"/>
    <s v="High Risk"/>
    <n v="120.94224999999999"/>
  </r>
  <r>
    <x v="0"/>
    <s v="Monthly"/>
    <s v="Healthcare"/>
    <s v="51-200"/>
    <n v="59"/>
    <n v="766.3"/>
    <s v="Social Media"/>
    <s v="Europe"/>
    <d v="2024-04-30T00:00:00"/>
    <s v="Yes"/>
    <d v="2024-10-14T00:00:00"/>
    <s v="Company Closed"/>
    <n v="12"/>
    <n v="4"/>
    <n v="42"/>
    <s v="No"/>
    <n v="1"/>
    <n v="5"/>
    <n v="3831.5"/>
    <s v="Medium Risk"/>
    <n v="19.157499999999999"/>
  </r>
  <r>
    <x v="1"/>
    <s v="Annual"/>
    <s v="Manufacturing"/>
    <s v="11-01"/>
    <n v="21"/>
    <n v="98.6"/>
    <s v="Paid Ads"/>
    <s v="North America"/>
    <d v="2025-05-20T00:00:00"/>
    <s v="No"/>
    <m/>
    <m/>
    <n v="4"/>
    <n v="7"/>
    <n v="71"/>
    <s v="No"/>
    <n v="0"/>
    <n v="11"/>
    <n v="1084.5999999999999"/>
    <s v="Low Risk"/>
    <n v="5.4229999999999992"/>
  </r>
  <r>
    <x v="2"/>
    <s v="Annual"/>
    <s v="Media"/>
    <s v="11-01"/>
    <n v="34"/>
    <n v="1006.44"/>
    <s v="Paid Ads"/>
    <s v="Asia Pacific"/>
    <d v="2022-08-18T00:00:00"/>
    <s v="No"/>
    <m/>
    <m/>
    <n v="10"/>
    <n v="4"/>
    <n v="84"/>
    <s v="No"/>
    <n v="0"/>
    <n v="44"/>
    <n v="44283.360000000001"/>
    <s v="Low Risk"/>
    <n v="221.41679999999999"/>
  </r>
  <r>
    <x v="0"/>
    <s v="Monthly"/>
    <s v="Healthcare"/>
    <s v="11-01"/>
    <n v="31"/>
    <n v="434.5"/>
    <s v="Paid Ads"/>
    <s v="Europe"/>
    <d v="2022-06-12T00:00:00"/>
    <s v="Yes"/>
    <d v="2024-04-30T00:00:00"/>
    <s v="Switched Competitor"/>
    <n v="10"/>
    <n v="4"/>
    <n v="20"/>
    <s v="No"/>
    <n v="1"/>
    <n v="22"/>
    <n v="9559"/>
    <s v="High Risk"/>
    <n v="47.795000000000002"/>
  </r>
  <r>
    <x v="3"/>
    <s v="Monthly"/>
    <s v="Finance"/>
    <s v="1-10"/>
    <n v="4"/>
    <n v="723.55"/>
    <s v="Organic Search"/>
    <s v="Asia Pacific"/>
    <d v="2024-08-01T00:00:00"/>
    <s v="Yes"/>
    <d v="2025-05-10T00:00:00"/>
    <s v="Company Closed"/>
    <n v="5"/>
    <n v="6"/>
    <n v="31"/>
    <s v="No"/>
    <n v="1"/>
    <n v="9"/>
    <n v="6511.95"/>
    <s v="Medium Risk"/>
    <n v="32.559750000000001"/>
  </r>
  <r>
    <x v="3"/>
    <s v="Monthly"/>
    <s v="Technology"/>
    <s v="1-10"/>
    <n v="7"/>
    <n v="948.1"/>
    <s v="Direct Sales"/>
    <s v="Asia Pacific"/>
    <d v="2023-06-26T00:00:00"/>
    <s v="No"/>
    <m/>
    <m/>
    <n v="0"/>
    <n v="5"/>
    <n v="83"/>
    <s v="No"/>
    <n v="0"/>
    <n v="34"/>
    <n v="32235.4"/>
    <s v="Low Risk"/>
    <n v="161.17700000000002"/>
  </r>
  <r>
    <x v="2"/>
    <s v="Monthly"/>
    <s v="Healthcare"/>
    <s v="1-10"/>
    <n v="7"/>
    <n v="378.1"/>
    <s v="Partner"/>
    <s v="Europe"/>
    <d v="2024-01-07T00:00:00"/>
    <s v="Yes"/>
    <d v="2025-04-26T00:00:00"/>
    <s v="Missing Features"/>
    <n v="0"/>
    <n v="1"/>
    <n v="36"/>
    <s v="No"/>
    <n v="1"/>
    <n v="15"/>
    <n v="5671.5"/>
    <s v="Medium Risk"/>
    <n v="28.357500000000002"/>
  </r>
  <r>
    <x v="0"/>
    <s v="Monthly"/>
    <s v="Media"/>
    <s v="51-200"/>
    <n v="59"/>
    <n v="766.3"/>
    <s v="Partner"/>
    <s v="North America"/>
    <d v="2022-02-07T00:00:00"/>
    <s v="No"/>
    <m/>
    <m/>
    <n v="2"/>
    <n v="7"/>
    <n v="51"/>
    <s v="No"/>
    <n v="0"/>
    <n v="50"/>
    <n v="38315"/>
    <s v="Medium Risk"/>
    <n v="191.57499999999999"/>
  </r>
  <r>
    <x v="3"/>
    <s v="Annual"/>
    <s v="Manufacturing"/>
    <s v="1-10"/>
    <n v="1"/>
    <n v="424.15"/>
    <s v="Paid Ads"/>
    <s v="Latin America"/>
    <d v="2022-08-01T00:00:00"/>
    <s v="No"/>
    <m/>
    <m/>
    <n v="2"/>
    <n v="1"/>
    <n v="65"/>
    <s v="No"/>
    <n v="0"/>
    <n v="45"/>
    <n v="19086.75"/>
    <s v="Low Risk"/>
    <n v="95.433750000000003"/>
  </r>
  <r>
    <x v="0"/>
    <s v="Monthly"/>
    <s v="Real Estate"/>
    <s v="1-10"/>
    <n v="8"/>
    <n v="161.94999999999999"/>
    <s v="Paid Ads"/>
    <s v="Latin America"/>
    <d v="2023-05-01T00:00:00"/>
    <s v="Yes"/>
    <d v="2023-06-24T00:00:00"/>
    <s v="Budget Cuts"/>
    <n v="3"/>
    <n v="1"/>
    <n v="27"/>
    <s v="No"/>
    <n v="1"/>
    <n v="1"/>
    <n v="161.94999999999999"/>
    <s v="High Risk"/>
    <n v="0.80974999999999997"/>
  </r>
  <r>
    <x v="2"/>
    <s v="Annual"/>
    <s v="Media"/>
    <s v="201-500"/>
    <n v="50"/>
    <n v="1412.4"/>
    <s v="Paid Ads"/>
    <s v="Europe"/>
    <d v="2025-10-13T00:00:00"/>
    <s v="No"/>
    <m/>
    <m/>
    <n v="12"/>
    <n v="5"/>
    <n v="91"/>
    <s v="No"/>
    <n v="0"/>
    <n v="6"/>
    <n v="8474.4000000000015"/>
    <s v="Low Risk"/>
    <n v="42.372000000000007"/>
  </r>
  <r>
    <x v="1"/>
    <s v="Monthly"/>
    <s v="Legal"/>
    <s v="1-10"/>
    <n v="7"/>
    <n v="55.1"/>
    <s v="Referral"/>
    <s v="Asia Pacific"/>
    <d v="2023-12-16T00:00:00"/>
    <s v="Yes"/>
    <d v="2025-08-02T00:00:00"/>
    <s v="Company Closed"/>
    <n v="6"/>
    <n v="3"/>
    <n v="36"/>
    <s v="No"/>
    <n v="1"/>
    <n v="19"/>
    <n v="1046.9000000000001"/>
    <s v="Medium Risk"/>
    <n v="5.2345000000000006"/>
  </r>
  <r>
    <x v="2"/>
    <s v="Annual"/>
    <s v="Consulting"/>
    <s v="51-200"/>
    <n v="49"/>
    <n v="1387.03"/>
    <s v="Referral"/>
    <s v="Latin America"/>
    <d v="2025-02-26T00:00:00"/>
    <s v="No"/>
    <m/>
    <m/>
    <n v="12"/>
    <n v="9"/>
    <n v="82"/>
    <s v="No"/>
    <n v="0"/>
    <n v="14"/>
    <n v="19418.419999999998"/>
    <s v="Low Risk"/>
    <n v="97.092099999999988"/>
  </r>
  <r>
    <x v="3"/>
    <s v="Monthly"/>
    <s v="Legal"/>
    <s v="11-01"/>
    <n v="31"/>
    <n v="2744.5"/>
    <s v="Partner"/>
    <s v="Europe"/>
    <d v="2023-04-28T00:00:00"/>
    <s v="No"/>
    <m/>
    <m/>
    <n v="11"/>
    <n v="3"/>
    <n v="15"/>
    <s v="No"/>
    <n v="0"/>
    <n v="36"/>
    <n v="98802"/>
    <s v="High Risk"/>
    <n v="494.01"/>
  </r>
  <r>
    <x v="0"/>
    <s v="Monthly"/>
    <s v="Real Estate"/>
    <s v="11-01"/>
    <n v="20"/>
    <n v="304.14999999999998"/>
    <s v="Organic Search"/>
    <s v="North America"/>
    <d v="2023-08-12T00:00:00"/>
    <s v="No"/>
    <m/>
    <m/>
    <n v="10"/>
    <n v="1"/>
    <n v="76"/>
    <s v="No"/>
    <n v="0"/>
    <n v="32"/>
    <n v="9732.7999999999993"/>
    <s v="Low Risk"/>
    <n v="48.663999999999994"/>
  </r>
  <r>
    <x v="1"/>
    <s v="Annual"/>
    <s v="Legal"/>
    <s v="51-200"/>
    <n v="67"/>
    <n v="268.69"/>
    <s v="Partner"/>
    <s v="Asia Pacific"/>
    <d v="2024-08-19T00:00:00"/>
    <s v="No"/>
    <m/>
    <m/>
    <n v="3"/>
    <n v="6"/>
    <n v="55"/>
    <s v="No"/>
    <n v="0"/>
    <n v="20"/>
    <n v="5373.8"/>
    <s v="Medium Risk"/>
    <n v="26.869"/>
  </r>
  <r>
    <x v="3"/>
    <s v="Monthly"/>
    <s v="Healthcare"/>
    <s v="201-500"/>
    <n v="85"/>
    <n v="6786.4"/>
    <s v="Direct Sales"/>
    <s v="Europe"/>
    <d v="2024-07-17T00:00:00"/>
    <s v="No"/>
    <m/>
    <m/>
    <n v="4"/>
    <n v="7"/>
    <n v="54"/>
    <s v="Yes"/>
    <n v="0"/>
    <n v="21"/>
    <n v="142514.4"/>
    <s v="Medium Risk"/>
    <n v="712.572"/>
  </r>
  <r>
    <x v="1"/>
    <s v="Monthly"/>
    <s v="Real Estate"/>
    <s v="1-10"/>
    <n v="2"/>
    <n v="33.35"/>
    <s v="Organic Search"/>
    <s v="Asia Pacific"/>
    <d v="2023-06-17T00:00:00"/>
    <s v="Yes"/>
    <d v="2023-07-27T00:00:00"/>
    <s v="Company Closed"/>
    <n v="13"/>
    <n v="2"/>
    <n v="17"/>
    <s v="No"/>
    <n v="1"/>
    <n v="1"/>
    <n v="33.35"/>
    <s v="High Risk"/>
    <n v="0.16675000000000001"/>
  </r>
  <r>
    <x v="3"/>
    <s v="Annual"/>
    <s v="Finance"/>
    <s v="201-500"/>
    <n v="52"/>
    <n v="3668.9"/>
    <s v="Referral"/>
    <s v="Europe"/>
    <d v="2024-07-25T00:00:00"/>
    <s v="No"/>
    <m/>
    <m/>
    <n v="9"/>
    <n v="7"/>
    <n v="93"/>
    <s v="No"/>
    <n v="0"/>
    <n v="21"/>
    <n v="77046.900000000009"/>
    <s v="Low Risk"/>
    <n v="385.23450000000003"/>
  </r>
  <r>
    <x v="1"/>
    <s v="Annual"/>
    <s v="Real Estate"/>
    <s v="51-200"/>
    <n v="58"/>
    <n v="235.41"/>
    <s v="Social Media"/>
    <s v="Asia Pacific"/>
    <d v="2022-11-05T00:00:00"/>
    <s v="Yes"/>
    <d v="2022-11-06T00:00:00"/>
    <s v="Company Closed"/>
    <n v="4"/>
    <n v="5"/>
    <n v="20"/>
    <s v="No"/>
    <n v="1"/>
    <n v="0"/>
    <n v="0"/>
    <s v="High Risk"/>
    <n v="0"/>
  </r>
  <r>
    <x v="1"/>
    <s v="Monthly"/>
    <s v="Legal"/>
    <s v="11-01"/>
    <n v="26"/>
    <n v="137.75"/>
    <s v="Paid Ads"/>
    <s v="North America"/>
    <d v="2023-06-14T00:00:00"/>
    <s v="Yes"/>
    <d v="2023-06-14T00:00:00"/>
    <s v="Price Too High"/>
    <n v="0"/>
    <n v="3"/>
    <n v="23"/>
    <s v="No"/>
    <n v="1"/>
    <n v="0"/>
    <n v="0"/>
    <s v="High Risk"/>
    <n v="0"/>
  </r>
  <r>
    <x v="0"/>
    <s v="Monthly"/>
    <s v="Real Estate"/>
    <s v="1-10"/>
    <n v="8"/>
    <n v="161.94999999999999"/>
    <s v="Paid Ads"/>
    <s v="Europe"/>
    <d v="2025-05-04T00:00:00"/>
    <s v="Yes"/>
    <d v="2025-08-08T00:00:00"/>
    <s v="Price Too High"/>
    <n v="5"/>
    <n v="2"/>
    <n v="49"/>
    <s v="No"/>
    <n v="1"/>
    <n v="3"/>
    <n v="485.84999999999997"/>
    <s v="Medium Risk"/>
    <n v="2.4292499999999997"/>
  </r>
  <r>
    <x v="2"/>
    <s v="Annual"/>
    <s v="Healthcare"/>
    <s v="51-200"/>
    <n v="20"/>
    <n v="651.23"/>
    <s v="Social Media"/>
    <s v="North America"/>
    <d v="2024-05-25T00:00:00"/>
    <s v="No"/>
    <m/>
    <m/>
    <n v="8"/>
    <n v="9"/>
    <n v="90"/>
    <s v="No"/>
    <n v="0"/>
    <n v="23"/>
    <n v="14978.29"/>
    <s v="Low Risk"/>
    <n v="74.891450000000006"/>
  </r>
  <r>
    <x v="1"/>
    <s v="Monthly"/>
    <s v="Consulting"/>
    <s v="51-200"/>
    <n v="68"/>
    <n v="320.45"/>
    <s v="Paid Ads"/>
    <s v="North America"/>
    <d v="2024-09-04T00:00:00"/>
    <s v="Yes"/>
    <d v="2025-05-10T00:00:00"/>
    <s v="No Longer Needed"/>
    <n v="9"/>
    <n v="4"/>
    <n v="50"/>
    <s v="No"/>
    <n v="1"/>
    <n v="8"/>
    <n v="2563.6"/>
    <s v="Medium Risk"/>
    <n v="12.818"/>
  </r>
  <r>
    <x v="0"/>
    <s v="Monthly"/>
    <s v="Manufacturing"/>
    <s v="201-500"/>
    <n v="30"/>
    <n v="422.65"/>
    <s v="Referral"/>
    <s v="North America"/>
    <d v="2023-08-28T00:00:00"/>
    <s v="Yes"/>
    <d v="2024-11-10T00:00:00"/>
    <s v="Budget Cuts"/>
    <n v="8"/>
    <n v="1"/>
    <n v="50"/>
    <s v="No"/>
    <n v="1"/>
    <n v="14"/>
    <n v="5917.0999999999995"/>
    <s v="Medium Risk"/>
    <n v="29.585499999999996"/>
  </r>
  <r>
    <x v="1"/>
    <s v="Monthly"/>
    <s v="Education"/>
    <s v="11-01"/>
    <n v="28"/>
    <n v="146.44999999999999"/>
    <s v="Direct Sales"/>
    <s v="North America"/>
    <d v="2025-10-24T00:00:00"/>
    <s v="No"/>
    <m/>
    <m/>
    <n v="7"/>
    <n v="1"/>
    <n v="91"/>
    <s v="No"/>
    <n v="0"/>
    <n v="6"/>
    <n v="878.69999999999993"/>
    <s v="Low Risk"/>
    <n v="4.3934999999999995"/>
  </r>
  <r>
    <x v="3"/>
    <s v="Annual"/>
    <s v="Real Estate"/>
    <s v="1-10"/>
    <n v="1"/>
    <n v="424.15"/>
    <s v="Partner"/>
    <s v="North America"/>
    <d v="2022-11-05T00:00:00"/>
    <s v="Yes"/>
    <d v="2025-05-10T00:00:00"/>
    <s v="No Longer Needed"/>
    <n v="9"/>
    <n v="3"/>
    <n v="24"/>
    <s v="No"/>
    <n v="1"/>
    <n v="30"/>
    <n v="12724.5"/>
    <s v="High Risk"/>
    <n v="63.622500000000002"/>
  </r>
  <r>
    <x v="2"/>
    <s v="Annual"/>
    <s v="Real Estate"/>
    <s v="11-01"/>
    <n v="16"/>
    <n v="549.74"/>
    <s v="Referral"/>
    <s v="Europe"/>
    <d v="2023-12-30T00:00:00"/>
    <s v="No"/>
    <m/>
    <m/>
    <n v="4"/>
    <n v="3"/>
    <n v="25"/>
    <s v="No"/>
    <n v="0"/>
    <n v="28"/>
    <n v="15392.720000000001"/>
    <s v="High Risk"/>
    <n v="76.9636"/>
  </r>
  <r>
    <x v="1"/>
    <s v="Monthly"/>
    <s v="Technology"/>
    <s v="1-10"/>
    <n v="1"/>
    <n v="29"/>
    <s v="Referral"/>
    <s v="Europe"/>
    <d v="2022-05-04T00:00:00"/>
    <s v="Yes"/>
    <d v="2022-12-14T00:00:00"/>
    <s v="Price Too High"/>
    <n v="14"/>
    <n v="2"/>
    <n v="10"/>
    <s v="No"/>
    <n v="1"/>
    <n v="7"/>
    <n v="203"/>
    <s v="High Risk"/>
    <n v="1.0149999999999999"/>
  </r>
  <r>
    <x v="0"/>
    <s v="Monthly"/>
    <s v="Technology"/>
    <s v="11-01"/>
    <n v="11"/>
    <n v="197.5"/>
    <s v="Direct Sales"/>
    <s v="Asia Pacific"/>
    <d v="2023-09-12T00:00:00"/>
    <s v="Yes"/>
    <d v="2024-04-25T00:00:00"/>
    <s v="Company Closed"/>
    <n v="12"/>
    <n v="2"/>
    <n v="10"/>
    <s v="No"/>
    <n v="1"/>
    <n v="7"/>
    <n v="1382.5"/>
    <s v="High Risk"/>
    <n v="6.9124999999999996"/>
  </r>
  <r>
    <x v="3"/>
    <s v="Monthly"/>
    <s v="Retail"/>
    <s v="1-10"/>
    <n v="2"/>
    <n v="573.85"/>
    <s v="Organic Search"/>
    <s v="North America"/>
    <d v="2023-01-10T00:00:00"/>
    <s v="Yes"/>
    <d v="2025-02-18T00:00:00"/>
    <s v="Poor Support"/>
    <n v="10"/>
    <n v="3"/>
    <n v="22"/>
    <s v="No"/>
    <n v="1"/>
    <n v="25"/>
    <n v="14346.25"/>
    <s v="High Risk"/>
    <n v="71.731250000000003"/>
  </r>
  <r>
    <x v="2"/>
    <s v="Monthly"/>
    <s v="Media"/>
    <s v="11-01"/>
    <n v="31"/>
    <n v="1094.5"/>
    <s v="Paid Ads"/>
    <s v="Asia Pacific"/>
    <d v="2022-11-24T00:00:00"/>
    <s v="No"/>
    <m/>
    <m/>
    <n v="1"/>
    <n v="6"/>
    <n v="49"/>
    <s v="No"/>
    <n v="0"/>
    <n v="41"/>
    <n v="44874.5"/>
    <s v="Medium Risk"/>
    <n v="224.3725"/>
  </r>
  <r>
    <x v="1"/>
    <s v="Annual"/>
    <s v="Legal"/>
    <s v="11-01"/>
    <n v="30"/>
    <n v="131.88"/>
    <s v="Partner"/>
    <s v="North America"/>
    <d v="2022-03-20T00:00:00"/>
    <s v="Yes"/>
    <d v="2022-04-05T00:00:00"/>
    <s v="Company Closed"/>
    <n v="7"/>
    <n v="1"/>
    <n v="28"/>
    <s v="No"/>
    <n v="1"/>
    <n v="0"/>
    <n v="0"/>
    <s v="High Risk"/>
    <n v="0"/>
  </r>
  <r>
    <x v="1"/>
    <s v="Monthly"/>
    <s v="Technology"/>
    <s v="11-01"/>
    <n v="31"/>
    <n v="159.5"/>
    <s v="Organic Search"/>
    <s v="Asia Pacific"/>
    <d v="2024-04-25T00:00:00"/>
    <s v="Yes"/>
    <d v="2024-09-02T00:00:00"/>
    <s v="No Longer Needed"/>
    <n v="1"/>
    <n v="6"/>
    <n v="33"/>
    <s v="No"/>
    <n v="1"/>
    <n v="4"/>
    <n v="638"/>
    <s v="Medium Risk"/>
    <n v="3.19"/>
  </r>
  <r>
    <x v="0"/>
    <s v="Annual"/>
    <s v="Consulting"/>
    <s v="500+"/>
    <n v="187"/>
    <n v="1940.63"/>
    <s v="Paid Ads"/>
    <s v="North America"/>
    <d v="2025-10-08T00:00:00"/>
    <s v="No"/>
    <m/>
    <m/>
    <n v="1"/>
    <n v="3"/>
    <n v="53"/>
    <s v="No"/>
    <n v="0"/>
    <n v="6"/>
    <n v="11643.78"/>
    <s v="Medium Risk"/>
    <n v="58.218900000000005"/>
  </r>
  <r>
    <x v="1"/>
    <s v="Monthly"/>
    <s v="Education"/>
    <s v="11-01"/>
    <n v="9"/>
    <n v="63.8"/>
    <s v="Direct Sales"/>
    <s v="North America"/>
    <d v="2025-03-10T00:00:00"/>
    <s v="No"/>
    <m/>
    <m/>
    <n v="9"/>
    <n v="3"/>
    <n v="22"/>
    <s v="No"/>
    <n v="0"/>
    <n v="13"/>
    <n v="829.4"/>
    <s v="High Risk"/>
    <n v="4.1470000000000002"/>
  </r>
  <r>
    <x v="1"/>
    <s v="Annual"/>
    <s v="Technology"/>
    <s v="201-500"/>
    <n v="135"/>
    <n v="520.12"/>
    <s v="Social Media"/>
    <s v="Asia Pacific"/>
    <d v="2024-10-01T00:00:00"/>
    <s v="No"/>
    <m/>
    <m/>
    <n v="10"/>
    <n v="4"/>
    <n v="86"/>
    <s v="No"/>
    <n v="0"/>
    <n v="19"/>
    <n v="9882.2800000000007"/>
    <s v="Low Risk"/>
    <n v="49.4114"/>
  </r>
  <r>
    <x v="1"/>
    <s v="Annual"/>
    <s v="Manufacturing"/>
    <s v="51-200"/>
    <n v="39"/>
    <n v="165.16"/>
    <s v="Paid Ads"/>
    <s v="North America"/>
    <d v="2022-02-17T00:00:00"/>
    <s v="Yes"/>
    <d v="2022-09-10T00:00:00"/>
    <s v="Company Closed"/>
    <n v="8"/>
    <n v="6"/>
    <n v="18"/>
    <s v="No"/>
    <n v="1"/>
    <n v="6"/>
    <n v="990.96"/>
    <s v="High Risk"/>
    <n v="4.9548000000000005"/>
  </r>
  <r>
    <x v="2"/>
    <s v="Annual"/>
    <s v="Retail"/>
    <s v="11-01"/>
    <n v="29"/>
    <n v="879.58"/>
    <s v="Referral"/>
    <s v="North America"/>
    <d v="2022-07-28T00:00:00"/>
    <s v="No"/>
    <m/>
    <m/>
    <n v="2"/>
    <n v="5"/>
    <n v="71"/>
    <s v="No"/>
    <n v="0"/>
    <n v="45"/>
    <n v="39581.1"/>
    <s v="Low Risk"/>
    <n v="197.90549999999999"/>
  </r>
  <r>
    <x v="2"/>
    <s v="Monthly"/>
    <s v="Consulting"/>
    <s v="500+"/>
    <n v="182"/>
    <n v="5601.85"/>
    <s v="Paid Ads"/>
    <s v="Latin America"/>
    <d v="2025-07-25T00:00:00"/>
    <s v="Yes"/>
    <d v="2025-07-28T00:00:00"/>
    <s v="Company Closed"/>
    <n v="4"/>
    <n v="1"/>
    <n v="21"/>
    <s v="No"/>
    <n v="1"/>
    <n v="0"/>
    <n v="0"/>
    <s v="High Risk"/>
    <n v="0"/>
  </r>
  <r>
    <x v="1"/>
    <s v="Monthly"/>
    <s v="Finance"/>
    <s v="201-500"/>
    <n v="82"/>
    <n v="381.35"/>
    <s v="Referral"/>
    <s v="North America"/>
    <d v="2025-10-11T00:00:00"/>
    <s v="No"/>
    <m/>
    <m/>
    <n v="1"/>
    <n v="6"/>
    <n v="33"/>
    <s v="No"/>
    <n v="0"/>
    <n v="6"/>
    <n v="2288.1000000000004"/>
    <s v="Medium Risk"/>
    <n v="11.440500000000002"/>
  </r>
  <r>
    <x v="2"/>
    <s v="Monthly"/>
    <s v="Education"/>
    <s v="201-500"/>
    <n v="74"/>
    <n v="2378.0500000000002"/>
    <s v="Organic Search"/>
    <s v="Europe"/>
    <d v="2025-04-25T00:00:00"/>
    <s v="No"/>
    <m/>
    <m/>
    <n v="0"/>
    <n v="9"/>
    <n v="71"/>
    <s v="Yes"/>
    <n v="0"/>
    <n v="12"/>
    <n v="28536.600000000002"/>
    <s v="Low Risk"/>
    <n v="142.68300000000002"/>
  </r>
  <r>
    <x v="0"/>
    <s v="Annual"/>
    <s v="Healthcare"/>
    <s v="11-01"/>
    <n v="30"/>
    <n v="359.25"/>
    <s v="Partner"/>
    <s v="North America"/>
    <d v="2022-11-27T00:00:00"/>
    <s v="Yes"/>
    <d v="2023-09-11T00:00:00"/>
    <s v="Budget Cuts"/>
    <n v="11"/>
    <n v="1"/>
    <n v="26"/>
    <s v="No"/>
    <n v="1"/>
    <n v="9"/>
    <n v="3233.25"/>
    <s v="High Risk"/>
    <n v="16.166250000000002"/>
  </r>
  <r>
    <x v="1"/>
    <s v="Monthly"/>
    <s v="Legal"/>
    <s v="11-01"/>
    <n v="6"/>
    <n v="50.75"/>
    <s v="Organic Search"/>
    <s v="Asia Pacific"/>
    <d v="2024-08-12T00:00:00"/>
    <s v="Yes"/>
    <d v="2025-06-24T00:00:00"/>
    <s v="Price Too High"/>
    <n v="9"/>
    <n v="1"/>
    <n v="45"/>
    <s v="No"/>
    <n v="1"/>
    <n v="10"/>
    <n v="507.5"/>
    <s v="Medium Risk"/>
    <n v="2.5375000000000001"/>
  </r>
  <r>
    <x v="3"/>
    <s v="Monthly"/>
    <s v="Legal"/>
    <s v="11-01"/>
    <n v="17"/>
    <n v="1696.6"/>
    <s v="Organic Search"/>
    <s v="Asia Pacific"/>
    <d v="2023-07-21T00:00:00"/>
    <s v="No"/>
    <m/>
    <m/>
    <n v="9"/>
    <n v="3"/>
    <n v="41"/>
    <s v="No"/>
    <n v="0"/>
    <n v="33"/>
    <n v="55987.799999999996"/>
    <s v="Medium Risk"/>
    <n v="279.93899999999996"/>
  </r>
  <r>
    <x v="2"/>
    <s v="Monthly"/>
    <s v="Healthcare"/>
    <s v="51-200"/>
    <n v="30"/>
    <n v="1064.6500000000001"/>
    <s v="Referral"/>
    <s v="North America"/>
    <d v="2025-10-12T00:00:00"/>
    <s v="No"/>
    <m/>
    <m/>
    <n v="6"/>
    <n v="10"/>
    <n v="17"/>
    <s v="No"/>
    <n v="0"/>
    <n v="6"/>
    <n v="6387.9000000000005"/>
    <s v="High Risk"/>
    <n v="31.939500000000002"/>
  </r>
  <r>
    <x v="1"/>
    <s v="Monthly"/>
    <s v="Technology"/>
    <s v="1-10"/>
    <n v="8"/>
    <n v="59.45"/>
    <s v="Organic Search"/>
    <s v="Asia Pacific"/>
    <d v="2024-11-09T00:00:00"/>
    <s v="Yes"/>
    <d v="2025-05-14T00:00:00"/>
    <s v="Switched Competitor"/>
    <n v="3"/>
    <n v="5"/>
    <n v="27"/>
    <s v="No"/>
    <n v="1"/>
    <n v="6"/>
    <n v="356.70000000000005"/>
    <s v="High Risk"/>
    <n v="1.7835000000000003"/>
  </r>
  <r>
    <x v="0"/>
    <s v="Monthly"/>
    <s v="Technology"/>
    <s v="1-10"/>
    <n v="8"/>
    <n v="161.94999999999999"/>
    <s v="Paid Ads"/>
    <s v="Europe"/>
    <d v="2025-03-17T00:00:00"/>
    <s v="No"/>
    <m/>
    <m/>
    <n v="10"/>
    <n v="10"/>
    <n v="78"/>
    <s v="No"/>
    <n v="0"/>
    <n v="13"/>
    <n v="2105.35"/>
    <s v="Low Risk"/>
    <n v="10.52675"/>
  </r>
  <r>
    <x v="2"/>
    <s v="Monthly"/>
    <s v="Manufacturing"/>
    <s v="1-10"/>
    <n v="6"/>
    <n v="348.25"/>
    <s v="Referral"/>
    <s v="Asia Pacific"/>
    <d v="2023-10-27T00:00:00"/>
    <s v="Yes"/>
    <d v="2025-11-02T00:00:00"/>
    <s v="Price Too High"/>
    <n v="10"/>
    <n v="1"/>
    <n v="19"/>
    <s v="No"/>
    <n v="1"/>
    <n v="24"/>
    <n v="8358"/>
    <s v="High Risk"/>
    <n v="41.79"/>
  </r>
  <r>
    <x v="0"/>
    <s v="Monthly"/>
    <s v="Real Estate"/>
    <s v="1-10"/>
    <n v="8"/>
    <n v="161.94999999999999"/>
    <s v="Organic Search"/>
    <s v="Europe"/>
    <d v="2022-08-24T00:00:00"/>
    <s v="Yes"/>
    <d v="2022-09-23T00:00:00"/>
    <s v="Budget Cuts"/>
    <n v="1"/>
    <n v="3"/>
    <n v="15"/>
    <s v="No"/>
    <n v="1"/>
    <n v="0"/>
    <n v="0"/>
    <s v="High Risk"/>
    <n v="0"/>
  </r>
  <r>
    <x v="1"/>
    <s v="Annual"/>
    <s v="Manufacturing"/>
    <s v="11-01"/>
    <n v="27"/>
    <n v="120.78"/>
    <s v="Direct Sales"/>
    <s v="Europe"/>
    <d v="2024-06-22T00:00:00"/>
    <s v="Yes"/>
    <d v="2024-08-18T00:00:00"/>
    <s v="Budget Cuts"/>
    <n v="10"/>
    <n v="4"/>
    <n v="11"/>
    <s v="No"/>
    <n v="1"/>
    <n v="1"/>
    <n v="120.78"/>
    <s v="High Risk"/>
    <n v="0.60389999999999999"/>
  </r>
  <r>
    <x v="1"/>
    <s v="Annual"/>
    <s v="Education"/>
    <s v="51-200"/>
    <n v="50"/>
    <n v="205.83"/>
    <s v="Referral"/>
    <s v="North America"/>
    <d v="2025-05-25T00:00:00"/>
    <s v="No"/>
    <m/>
    <m/>
    <n v="5"/>
    <n v="8"/>
    <n v="66"/>
    <s v="No"/>
    <n v="0"/>
    <n v="11"/>
    <n v="2264.13"/>
    <s v="Low Risk"/>
    <n v="11.320650000000001"/>
  </r>
  <r>
    <x v="0"/>
    <s v="Monthly"/>
    <s v="Healthcare"/>
    <s v="11-01"/>
    <n v="13"/>
    <n v="221.2"/>
    <s v="Organic Search"/>
    <s v="Europe"/>
    <d v="2025-05-31T00:00:00"/>
    <s v="No"/>
    <m/>
    <m/>
    <n v="5"/>
    <n v="5"/>
    <n v="53"/>
    <s v="No"/>
    <n v="0"/>
    <n v="11"/>
    <n v="2433.1999999999998"/>
    <s v="Medium Risk"/>
    <n v="12.165999999999999"/>
  </r>
  <r>
    <x v="2"/>
    <s v="Annual"/>
    <s v="Technology"/>
    <s v="11-01"/>
    <n v="23"/>
    <n v="727.34"/>
    <s v="Organic Search"/>
    <s v="North America"/>
    <d v="2024-05-07T00:00:00"/>
    <s v="No"/>
    <m/>
    <m/>
    <n v="2"/>
    <n v="5"/>
    <n v="19"/>
    <s v="No"/>
    <n v="0"/>
    <n v="23"/>
    <n v="16728.82"/>
    <s v="High Risk"/>
    <n v="83.644099999999995"/>
  </r>
  <r>
    <x v="1"/>
    <s v="Monthly"/>
    <s v="Legal"/>
    <s v="1-10"/>
    <n v="2"/>
    <n v="33.35"/>
    <s v="Referral"/>
    <s v="North America"/>
    <d v="2022-02-06T00:00:00"/>
    <s v="Yes"/>
    <d v="2022-02-14T00:00:00"/>
    <s v="Switched Competitor"/>
    <n v="15"/>
    <n v="1"/>
    <n v="15"/>
    <s v="No"/>
    <n v="1"/>
    <n v="0"/>
    <n v="0"/>
    <s v="High Risk"/>
    <n v="0"/>
  </r>
  <r>
    <x v="1"/>
    <s v="Monthly"/>
    <s v="Manufacturing"/>
    <s v="1-10"/>
    <n v="3"/>
    <n v="37.700000000000003"/>
    <s v="Social Media"/>
    <s v="Asia Pacific"/>
    <d v="2022-11-08T00:00:00"/>
    <s v="Yes"/>
    <d v="2023-08-16T00:00:00"/>
    <s v="Switched Competitor"/>
    <n v="6"/>
    <n v="5"/>
    <n v="33"/>
    <s v="No"/>
    <n v="1"/>
    <n v="9"/>
    <n v="339.3"/>
    <s v="Medium Risk"/>
    <n v="1.6965000000000001"/>
  </r>
  <r>
    <x v="0"/>
    <s v="Annual"/>
    <s v="Consulting"/>
    <s v="51-200"/>
    <n v="34"/>
    <n v="399.54"/>
    <s v="Partner"/>
    <s v="Asia Pacific"/>
    <d v="2022-08-16T00:00:00"/>
    <s v="No"/>
    <m/>
    <m/>
    <n v="6"/>
    <n v="5"/>
    <n v="39"/>
    <s v="No"/>
    <n v="0"/>
    <n v="44"/>
    <n v="17579.760000000002"/>
    <s v="Medium Risk"/>
    <n v="87.898800000000008"/>
  </r>
  <r>
    <x v="3"/>
    <s v="Monthly"/>
    <s v="Education"/>
    <s v="51-200"/>
    <n v="78"/>
    <n v="6262.45"/>
    <s v="Paid Ads"/>
    <s v="North America"/>
    <d v="2023-10-05T00:00:00"/>
    <s v="No"/>
    <m/>
    <m/>
    <n v="1"/>
    <n v="9"/>
    <n v="50"/>
    <s v="Yes"/>
    <n v="0"/>
    <n v="30"/>
    <n v="187873.5"/>
    <s v="Medium Risk"/>
    <n v="939.36749999999995"/>
  </r>
  <r>
    <x v="2"/>
    <s v="Annual"/>
    <s v="Consulting"/>
    <s v="51-200"/>
    <n v="38"/>
    <n v="1107.93"/>
    <s v="Referral"/>
    <s v="North America"/>
    <d v="2025-11-09T00:00:00"/>
    <s v="No"/>
    <m/>
    <m/>
    <n v="11"/>
    <n v="8"/>
    <n v="26"/>
    <s v="No"/>
    <n v="0"/>
    <n v="5"/>
    <n v="5539.6500000000005"/>
    <s v="High Risk"/>
    <n v="27.698250000000002"/>
  </r>
  <r>
    <x v="1"/>
    <s v="Annual"/>
    <s v="Manufacturing"/>
    <s v="1-10"/>
    <n v="4"/>
    <n v="35.74"/>
    <s v="Partner"/>
    <s v="North America"/>
    <d v="2024-05-26T00:00:00"/>
    <s v="Yes"/>
    <d v="2024-06-14T00:00:00"/>
    <s v="Price Too High"/>
    <n v="1"/>
    <n v="5"/>
    <n v="35"/>
    <s v="No"/>
    <n v="1"/>
    <n v="0"/>
    <n v="0"/>
    <s v="Medium Risk"/>
    <n v="0"/>
  </r>
  <r>
    <x v="1"/>
    <s v="Annual"/>
    <s v="Finance"/>
    <s v="201-500"/>
    <n v="123"/>
    <n v="475.74"/>
    <s v="Paid Ads"/>
    <s v="North America"/>
    <d v="2022-08-18T00:00:00"/>
    <s v="Yes"/>
    <d v="2023-08-30T00:00:00"/>
    <s v="Price Too High"/>
    <n v="5"/>
    <n v="3"/>
    <n v="22"/>
    <s v="No"/>
    <n v="1"/>
    <n v="12"/>
    <n v="5708.88"/>
    <s v="High Risk"/>
    <n v="28.5444"/>
  </r>
  <r>
    <x v="0"/>
    <s v="Monthly"/>
    <s v="Education"/>
    <s v="500+"/>
    <n v="74"/>
    <n v="944.05"/>
    <s v="Organic Search"/>
    <s v="North America"/>
    <d v="2024-03-08T00:00:00"/>
    <s v="Yes"/>
    <d v="2025-10-26T00:00:00"/>
    <s v="Missing Features"/>
    <n v="9"/>
    <n v="3"/>
    <n v="38"/>
    <s v="No"/>
    <n v="1"/>
    <n v="19"/>
    <n v="17936.95"/>
    <s v="Medium Risk"/>
    <n v="89.684750000000008"/>
  </r>
  <r>
    <x v="0"/>
    <s v="Monthly"/>
    <s v="Finance"/>
    <s v="11-01"/>
    <n v="9"/>
    <n v="173.8"/>
    <s v="Direct Sales"/>
    <s v="North America"/>
    <d v="2025-09-22T00:00:00"/>
    <s v="No"/>
    <m/>
    <m/>
    <n v="8"/>
    <n v="8"/>
    <n v="74"/>
    <s v="No"/>
    <n v="0"/>
    <n v="7"/>
    <n v="1216.6000000000001"/>
    <s v="Low Risk"/>
    <n v="6.0830000000000011"/>
  </r>
  <r>
    <x v="0"/>
    <s v="Monthly"/>
    <s v="Education"/>
    <s v="201-500"/>
    <n v="33"/>
    <n v="458.2"/>
    <s v="Referral"/>
    <s v="North America"/>
    <d v="2024-03-20T00:00:00"/>
    <s v="Yes"/>
    <d v="2024-09-30T00:00:00"/>
    <s v="Price Too High"/>
    <n v="13"/>
    <n v="2"/>
    <n v="39"/>
    <s v="No"/>
    <n v="1"/>
    <n v="6"/>
    <n v="2749.2"/>
    <s v="Medium Risk"/>
    <n v="13.745999999999999"/>
  </r>
  <r>
    <x v="2"/>
    <s v="Monthly"/>
    <s v="Technology"/>
    <s v="201-500"/>
    <n v="105"/>
    <n v="3303.4"/>
    <s v="Direct Sales"/>
    <s v="Asia Pacific"/>
    <d v="2024-11-10T00:00:00"/>
    <s v="No"/>
    <m/>
    <m/>
    <n v="0"/>
    <n v="8"/>
    <n v="75"/>
    <s v="Yes"/>
    <n v="0"/>
    <n v="17"/>
    <n v="56157.8"/>
    <s v="Low Risk"/>
    <n v="280.78899999999999"/>
  </r>
  <r>
    <x v="0"/>
    <s v="Monthly"/>
    <s v="Consulting"/>
    <s v="11-01"/>
    <n v="35"/>
    <n v="481.9"/>
    <s v="Partner"/>
    <s v="North America"/>
    <d v="2023-11-19T00:00:00"/>
    <s v="Yes"/>
    <d v="2025-07-16T00:00:00"/>
    <s v="Poor Support"/>
    <n v="0"/>
    <n v="2"/>
    <n v="32"/>
    <s v="No"/>
    <n v="1"/>
    <n v="19"/>
    <n v="9156.1"/>
    <s v="Medium Risk"/>
    <n v="45.780500000000004"/>
  </r>
  <r>
    <x v="0"/>
    <s v="Monthly"/>
    <s v="Finance"/>
    <s v="1-10"/>
    <n v="4"/>
    <n v="114.55"/>
    <s v="Social Media"/>
    <s v="North America"/>
    <d v="2025-06-17T00:00:00"/>
    <s v="Yes"/>
    <d v="2025-06-19T00:00:00"/>
    <s v="Price Too High"/>
    <n v="3"/>
    <n v="5"/>
    <n v="50"/>
    <s v="No"/>
    <n v="1"/>
    <n v="0"/>
    <n v="0"/>
    <s v="Medium Risk"/>
    <n v="0"/>
  </r>
  <r>
    <x v="2"/>
    <s v="Monthly"/>
    <s v="Media"/>
    <s v="11-01"/>
    <n v="18"/>
    <n v="706.45"/>
    <s v="Organic Search"/>
    <s v="North America"/>
    <d v="2025-10-26T00:00:00"/>
    <s v="No"/>
    <m/>
    <m/>
    <n v="0"/>
    <n v="1"/>
    <n v="37"/>
    <s v="No"/>
    <n v="0"/>
    <n v="6"/>
    <n v="4238.7000000000007"/>
    <s v="Medium Risk"/>
    <n v="21.193500000000004"/>
  </r>
  <r>
    <x v="2"/>
    <s v="Monthly"/>
    <s v="Technology"/>
    <s v="11-01"/>
    <n v="5"/>
    <n v="318.39999999999998"/>
    <s v="Direct Sales"/>
    <s v="North America"/>
    <d v="2023-11-16T00:00:00"/>
    <s v="No"/>
    <m/>
    <m/>
    <n v="0"/>
    <n v="4"/>
    <n v="77"/>
    <s v="Yes"/>
    <n v="0"/>
    <n v="29"/>
    <n v="9233.5999999999985"/>
    <s v="Low Risk"/>
    <n v="46.167999999999992"/>
  </r>
  <r>
    <x v="1"/>
    <s v="Monthly"/>
    <s v="Healthcare"/>
    <s v="201-500"/>
    <n v="116"/>
    <n v="529.25"/>
    <s v="Paid Ads"/>
    <s v="North America"/>
    <d v="2025-10-11T00:00:00"/>
    <s v="No"/>
    <m/>
    <m/>
    <n v="6"/>
    <n v="3"/>
    <n v="68"/>
    <s v="No"/>
    <n v="0"/>
    <n v="6"/>
    <n v="3175.5"/>
    <s v="Low Risk"/>
    <n v="15.8775"/>
  </r>
  <r>
    <x v="2"/>
    <s v="Monthly"/>
    <s v="Technology"/>
    <s v="1-10"/>
    <n v="1"/>
    <n v="199"/>
    <s v="Referral"/>
    <s v="Latin America"/>
    <d v="2022-09-04T00:00:00"/>
    <s v="No"/>
    <m/>
    <m/>
    <n v="2"/>
    <n v="6"/>
    <n v="84"/>
    <s v="Yes"/>
    <n v="0"/>
    <n v="43"/>
    <n v="8557"/>
    <s v="Low Risk"/>
    <n v="42.784999999999997"/>
  </r>
  <r>
    <x v="2"/>
    <s v="Monthly"/>
    <s v="Retail"/>
    <s v="11-01"/>
    <n v="33"/>
    <n v="1154.2"/>
    <s v="Organic Search"/>
    <s v="Latin America"/>
    <d v="2023-01-17T00:00:00"/>
    <s v="Yes"/>
    <d v="2025-07-19T00:00:00"/>
    <s v="Switched Competitor"/>
    <n v="1"/>
    <n v="3"/>
    <n v="37"/>
    <s v="No"/>
    <n v="1"/>
    <n v="30"/>
    <n v="34626"/>
    <s v="Medium Risk"/>
    <n v="173.13"/>
  </r>
  <r>
    <x v="1"/>
    <s v="Annual"/>
    <s v="Healthcare"/>
    <s v="1-10"/>
    <n v="7"/>
    <n v="46.83"/>
    <s v="Referral"/>
    <s v="Latin America"/>
    <d v="2023-11-21T00:00:00"/>
    <s v="Yes"/>
    <d v="2024-07-08T00:00:00"/>
    <s v="Budget Cuts"/>
    <n v="11"/>
    <n v="1"/>
    <n v="18"/>
    <s v="No"/>
    <n v="1"/>
    <n v="7"/>
    <n v="327.81"/>
    <s v="High Risk"/>
    <n v="1.6390500000000001"/>
  </r>
  <r>
    <x v="1"/>
    <s v="Monthly"/>
    <s v="Consulting"/>
    <s v="11-01"/>
    <n v="21"/>
    <n v="116"/>
    <s v="Organic Search"/>
    <s v="Latin America"/>
    <d v="2023-09-20T00:00:00"/>
    <s v="Yes"/>
    <d v="2023-11-21T00:00:00"/>
    <s v="No Longer Needed"/>
    <n v="11"/>
    <n v="3"/>
    <n v="16"/>
    <s v="No"/>
    <n v="1"/>
    <n v="2"/>
    <n v="232"/>
    <s v="High Risk"/>
    <n v="1.1599999999999999"/>
  </r>
  <r>
    <x v="2"/>
    <s v="Monthly"/>
    <s v="Technology"/>
    <s v="11-01"/>
    <n v="6"/>
    <n v="348.25"/>
    <s v="Organic Search"/>
    <s v="North America"/>
    <d v="2023-11-22T00:00:00"/>
    <s v="No"/>
    <m/>
    <m/>
    <n v="1"/>
    <n v="2"/>
    <n v="27"/>
    <s v="Yes"/>
    <n v="0"/>
    <n v="29"/>
    <n v="10099.25"/>
    <s v="High Risk"/>
    <n v="50.496250000000003"/>
  </r>
  <r>
    <x v="0"/>
    <s v="Monthly"/>
    <s v="Media"/>
    <s v="11-01"/>
    <n v="6"/>
    <n v="138.25"/>
    <s v="Partner"/>
    <s v="Europe"/>
    <d v="2022-10-02T00:00:00"/>
    <s v="Yes"/>
    <d v="2024-02-13T00:00:00"/>
    <s v="Poor Support"/>
    <n v="5"/>
    <n v="3"/>
    <n v="11"/>
    <s v="No"/>
    <n v="1"/>
    <n v="16"/>
    <n v="2212"/>
    <s v="High Risk"/>
    <n v="11.06"/>
  </r>
  <r>
    <x v="2"/>
    <s v="Monthly"/>
    <s v="Real Estate"/>
    <s v="51-200"/>
    <n v="47"/>
    <n v="1572.1"/>
    <s v="Organic Search"/>
    <s v="North America"/>
    <d v="2023-02-07T00:00:00"/>
    <s v="No"/>
    <m/>
    <m/>
    <n v="1"/>
    <n v="9"/>
    <n v="27"/>
    <s v="No"/>
    <n v="0"/>
    <n v="38"/>
    <n v="59739.799999999996"/>
    <s v="High Risk"/>
    <n v="298.69899999999996"/>
  </r>
  <r>
    <x v="2"/>
    <s v="Annual"/>
    <s v="Legal"/>
    <s v="51-200"/>
    <n v="76"/>
    <n v="2072.09"/>
    <s v="Organic Search"/>
    <s v="Asia Pacific"/>
    <d v="2022-12-14T00:00:00"/>
    <s v="Yes"/>
    <d v="2023-04-10T00:00:00"/>
    <s v="Price Too High"/>
    <n v="4"/>
    <n v="2"/>
    <n v="35"/>
    <s v="No"/>
    <n v="1"/>
    <n v="3"/>
    <n v="6216.27"/>
    <s v="Medium Risk"/>
    <n v="31.08135"/>
  </r>
  <r>
    <x v="2"/>
    <s v="Monthly"/>
    <s v="Manufacturing"/>
    <s v="11-01"/>
    <n v="11"/>
    <n v="497.5"/>
    <s v="Organic Search"/>
    <s v="Europe"/>
    <d v="2023-04-11T00:00:00"/>
    <s v="Yes"/>
    <d v="2024-11-14T00:00:00"/>
    <s v="Missing Features"/>
    <n v="3"/>
    <n v="3"/>
    <n v="48"/>
    <s v="No"/>
    <n v="1"/>
    <n v="19"/>
    <n v="9452.5"/>
    <s v="Medium Risk"/>
    <n v="47.262500000000003"/>
  </r>
  <r>
    <x v="0"/>
    <s v="Annual"/>
    <s v="Healthcare"/>
    <s v="11-01"/>
    <n v="32"/>
    <n v="379.4"/>
    <s v="Referral"/>
    <s v="North America"/>
    <d v="2024-12-05T00:00:00"/>
    <s v="No"/>
    <m/>
    <m/>
    <n v="3"/>
    <n v="6"/>
    <n v="65"/>
    <s v="Yes"/>
    <n v="0"/>
    <n v="16"/>
    <n v="6070.4"/>
    <s v="Low Risk"/>
    <n v="30.351999999999997"/>
  </r>
  <r>
    <x v="0"/>
    <s v="Annual"/>
    <s v="Technology"/>
    <s v="201-500"/>
    <n v="106"/>
    <n v="1124.76"/>
    <s v="Direct Sales"/>
    <s v="Europe"/>
    <d v="2023-06-25T00:00:00"/>
    <s v="No"/>
    <m/>
    <m/>
    <n v="3"/>
    <n v="3"/>
    <n v="57"/>
    <s v="No"/>
    <n v="0"/>
    <n v="34"/>
    <n v="38241.839999999997"/>
    <s v="Medium Risk"/>
    <n v="191.20919999999998"/>
  </r>
  <r>
    <x v="1"/>
    <s v="Monthly"/>
    <s v="Technology"/>
    <s v="201-500"/>
    <n v="84"/>
    <n v="390.05"/>
    <s v="Organic Search"/>
    <s v="Latin America"/>
    <d v="2023-09-05T00:00:00"/>
    <s v="No"/>
    <m/>
    <m/>
    <n v="3"/>
    <n v="4"/>
    <n v="67"/>
    <s v="No"/>
    <n v="0"/>
    <n v="31"/>
    <n v="12091.550000000001"/>
    <s v="Low Risk"/>
    <n v="60.457750000000004"/>
  </r>
  <r>
    <x v="0"/>
    <s v="Annual"/>
    <s v="Retail"/>
    <s v="11-01"/>
    <n v="18"/>
    <n v="238.38"/>
    <s v="Organic Search"/>
    <s v="North America"/>
    <d v="2023-06-30T00:00:00"/>
    <s v="No"/>
    <m/>
    <m/>
    <n v="11"/>
    <n v="4"/>
    <n v="50"/>
    <s v="No"/>
    <n v="0"/>
    <n v="34"/>
    <n v="8104.92"/>
    <s v="Medium Risk"/>
    <n v="40.5246"/>
  </r>
  <r>
    <x v="1"/>
    <s v="Monthly"/>
    <s v="Media"/>
    <s v="500+"/>
    <n v="87"/>
    <n v="403.1"/>
    <s v="Partner"/>
    <s v="Europe"/>
    <d v="2025-11-15T00:00:00"/>
    <s v="No"/>
    <m/>
    <m/>
    <n v="10"/>
    <n v="10"/>
    <n v="70"/>
    <s v="No"/>
    <n v="0"/>
    <n v="5"/>
    <n v="2015.5"/>
    <s v="Low Risk"/>
    <n v="10.077500000000001"/>
  </r>
  <r>
    <x v="4"/>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0"/>
    <n v="5"/>
    <n v="0"/>
    <n v="0"/>
    <n v="0"/>
    <n v="0"/>
    <n v="164.92"/>
    <n v="0"/>
    <n v="0"/>
    <n v="5"/>
  </r>
  <r>
    <x v="1"/>
    <n v="5"/>
    <n v="10"/>
    <n v="1"/>
    <n v="20"/>
    <n v="7333.07"/>
    <n v="1466.61"/>
    <n v="189.21"/>
    <n v="14666.099999999999"/>
    <n v="1466.61"/>
    <n v="9"/>
  </r>
  <r>
    <x v="2"/>
    <n v="14"/>
    <n v="13"/>
    <n v="0"/>
    <n v="0"/>
    <n v="12301.16"/>
    <n v="878.65"/>
    <n v="139.49"/>
    <n v="11422.449999999999"/>
    <n v="0"/>
    <n v="13"/>
  </r>
  <r>
    <x v="3"/>
    <n v="28"/>
    <n v="11"/>
    <n v="3"/>
    <n v="10.71"/>
    <n v="24798.76"/>
    <n v="885.67"/>
    <n v="259.08999999999997"/>
    <n v="9742.369999999999"/>
    <n v="2657.0099999999998"/>
    <n v="8"/>
  </r>
  <r>
    <x v="4"/>
    <n v="35"/>
    <n v="11"/>
    <n v="1"/>
    <n v="2.86"/>
    <n v="29091.88"/>
    <n v="831.2"/>
    <n v="152.96"/>
    <n v="9143.2000000000007"/>
    <n v="831.2"/>
    <n v="10"/>
  </r>
  <r>
    <x v="5"/>
    <n v="46"/>
    <n v="10"/>
    <n v="2"/>
    <n v="4.3499999999999996"/>
    <n v="38919.93"/>
    <n v="846.09"/>
    <n v="248.89"/>
    <n v="8460.9"/>
    <n v="1692.18"/>
    <n v="8"/>
  </r>
  <r>
    <x v="6"/>
    <n v="53"/>
    <n v="8"/>
    <n v="6"/>
    <n v="11.32"/>
    <n v="45097.72"/>
    <n v="850.9"/>
    <n v="275.08"/>
    <n v="6807.2"/>
    <n v="5105.3999999999996"/>
    <n v="2"/>
  </r>
  <r>
    <x v="7"/>
    <n v="57"/>
    <n v="18"/>
    <n v="6"/>
    <n v="10.53"/>
    <n v="54140.41"/>
    <n v="949.83"/>
    <n v="193.48"/>
    <n v="17096.940000000002"/>
    <n v="5698.9800000000005"/>
    <n v="12"/>
  </r>
  <r>
    <x v="8"/>
    <n v="67"/>
    <n v="13"/>
    <n v="5"/>
    <n v="7.46"/>
    <n v="65198"/>
    <n v="973.1"/>
    <n v="216"/>
    <n v="12650.300000000001"/>
    <n v="4865.5"/>
    <n v="8"/>
  </r>
  <r>
    <x v="9"/>
    <n v="76"/>
    <n v="16"/>
    <n v="5"/>
    <n v="6.58"/>
    <n v="86824.16"/>
    <n v="1142.42"/>
    <n v="246.32"/>
    <n v="18278.72"/>
    <n v="5712.1"/>
    <n v="11"/>
  </r>
  <r>
    <x v="10"/>
    <n v="87"/>
    <n v="14"/>
    <n v="5"/>
    <n v="5.75"/>
    <n v="93168.11"/>
    <n v="1070.9000000000001"/>
    <n v="130.12"/>
    <n v="14992.600000000002"/>
    <n v="5354.5"/>
    <n v="9"/>
  </r>
  <r>
    <x v="11"/>
    <n v="95"/>
    <n v="14"/>
    <n v="2"/>
    <n v="2.11"/>
    <n v="96100.66"/>
    <n v="1011.59"/>
    <n v="160.94"/>
    <n v="14162.26"/>
    <n v="2023.18"/>
    <n v="12"/>
  </r>
  <r>
    <x v="12"/>
    <n v="107"/>
    <n v="12"/>
    <n v="4"/>
    <n v="3.74"/>
    <n v="104773.35"/>
    <n v="979.19"/>
    <n v="258.64999999999998"/>
    <n v="11750.28"/>
    <n v="3916.76"/>
    <n v="8"/>
  </r>
  <r>
    <x v="13"/>
    <n v="115"/>
    <n v="10"/>
    <n v="3"/>
    <n v="2.61"/>
    <n v="115539.13"/>
    <n v="1004.69"/>
    <n v="262.48"/>
    <n v="10046.900000000001"/>
    <n v="3014.07"/>
    <n v="7"/>
  </r>
  <r>
    <x v="14"/>
    <n v="123"/>
    <n v="5"/>
    <n v="2"/>
    <n v="1.63"/>
    <n v="125258.61"/>
    <n v="1018.36"/>
    <n v="274.97000000000003"/>
    <n v="5091.8"/>
    <n v="2036.72"/>
    <n v="3"/>
  </r>
  <r>
    <x v="15"/>
    <n v="125"/>
    <n v="14"/>
    <n v="8"/>
    <n v="6.4"/>
    <n v="129471.28"/>
    <n v="1035.77"/>
    <n v="271.47000000000003"/>
    <n v="14500.779999999999"/>
    <n v="8286.16"/>
    <n v="6"/>
  </r>
  <r>
    <x v="16"/>
    <n v="133"/>
    <n v="13"/>
    <n v="4"/>
    <n v="3.01"/>
    <n v="142401.69"/>
    <n v="1070.69"/>
    <n v="122.99"/>
    <n v="13918.970000000001"/>
    <n v="4282.76"/>
    <n v="9"/>
  </r>
  <r>
    <x v="17"/>
    <n v="140"/>
    <n v="15"/>
    <n v="10"/>
    <n v="7.14"/>
    <n v="142966.32"/>
    <n v="1021.19"/>
    <n v="161.5"/>
    <n v="15317.85"/>
    <n v="10211.900000000001"/>
    <n v="5"/>
  </r>
  <r>
    <x v="18"/>
    <n v="145"/>
    <n v="19"/>
    <n v="7"/>
    <n v="4.83"/>
    <n v="147630.35999999999"/>
    <n v="1018.14"/>
    <n v="279.58999999999997"/>
    <n v="19344.66"/>
    <n v="7126.98"/>
    <n v="12"/>
  </r>
  <r>
    <x v="19"/>
    <n v="157"/>
    <n v="10"/>
    <n v="7"/>
    <n v="4.46"/>
    <n v="158920.70000000001"/>
    <n v="1012.23"/>
    <n v="131.26"/>
    <n v="10122.299999999999"/>
    <n v="7085.6100000000006"/>
    <n v="3"/>
  </r>
  <r>
    <x v="20"/>
    <n v="160"/>
    <n v="17"/>
    <n v="7"/>
    <n v="4.38"/>
    <n v="162830.01999999999"/>
    <n v="1017.69"/>
    <n v="258.93"/>
    <n v="17300.73"/>
    <n v="7123.83"/>
    <n v="10"/>
  </r>
  <r>
    <x v="21"/>
    <n v="170"/>
    <n v="16"/>
    <n v="5"/>
    <n v="2.94"/>
    <n v="170763.72"/>
    <n v="1004.49"/>
    <n v="240.01"/>
    <n v="16071.84"/>
    <n v="5022.45"/>
    <n v="11"/>
  </r>
  <r>
    <x v="22"/>
    <n v="181"/>
    <n v="11"/>
    <n v="8"/>
    <n v="4.42"/>
    <n v="184058.29"/>
    <n v="1016.9"/>
    <n v="178.83"/>
    <n v="11185.9"/>
    <n v="8135.2"/>
    <n v="3"/>
  </r>
  <r>
    <x v="23"/>
    <n v="183"/>
    <n v="9"/>
    <n v="7"/>
    <n v="3.83"/>
    <n v="189579.35"/>
    <n v="1035.95"/>
    <n v="180.21"/>
    <n v="9323.5500000000011"/>
    <n v="7251.6500000000005"/>
    <n v="2"/>
  </r>
  <r>
    <x v="24"/>
    <n v="186"/>
    <n v="10"/>
    <n v="7"/>
    <n v="3.76"/>
    <n v="191783.54"/>
    <n v="1031.0899999999999"/>
    <n v="275.62"/>
    <n v="10310.9"/>
    <n v="7217.6299999999992"/>
    <n v="3"/>
  </r>
  <r>
    <x v="25"/>
    <n v="188"/>
    <n v="7"/>
    <n v="8"/>
    <n v="4.26"/>
    <n v="192379.41"/>
    <n v="1023.29"/>
    <n v="142.08000000000001"/>
    <n v="7163.03"/>
    <n v="8186.32"/>
    <n v="-1"/>
  </r>
  <r>
    <x v="26"/>
    <n v="189"/>
    <n v="19"/>
    <n v="4"/>
    <n v="2.12"/>
    <n v="196219.33"/>
    <n v="1038.2"/>
    <n v="251.87"/>
    <n v="19725.8"/>
    <n v="4152.8"/>
    <n v="15"/>
  </r>
  <r>
    <x v="27"/>
    <n v="203"/>
    <n v="11"/>
    <n v="8"/>
    <n v="3.94"/>
    <n v="200076.61"/>
    <n v="985.6"/>
    <n v="212.11"/>
    <n v="10841.6"/>
    <n v="7884.8"/>
    <n v="3"/>
  </r>
  <r>
    <x v="28"/>
    <n v="206"/>
    <n v="14"/>
    <n v="8"/>
    <n v="3.88"/>
    <n v="217117.58"/>
    <n v="1053.97"/>
    <n v="139.55000000000001"/>
    <n v="14755.58"/>
    <n v="8431.76"/>
    <n v="6"/>
  </r>
  <r>
    <x v="29"/>
    <n v="213"/>
    <n v="13"/>
    <n v="9"/>
    <n v="4.2300000000000004"/>
    <n v="215810.52"/>
    <n v="1013.19"/>
    <n v="241.12"/>
    <n v="13171.470000000001"/>
    <n v="9118.7100000000009"/>
    <n v="4"/>
  </r>
  <r>
    <x v="30"/>
    <n v="216"/>
    <n v="14"/>
    <n v="8"/>
    <n v="3.7"/>
    <n v="222303.35999999999"/>
    <n v="1029.18"/>
    <n v="201.02"/>
    <n v="14408.52"/>
    <n v="8233.44"/>
    <n v="6"/>
  </r>
  <r>
    <x v="31"/>
    <n v="223"/>
    <n v="12"/>
    <n v="7"/>
    <n v="3.14"/>
    <n v="242222.62"/>
    <n v="1086.2"/>
    <n v="128.12"/>
    <n v="13034.400000000001"/>
    <n v="7603.4000000000005"/>
    <n v="5"/>
  </r>
  <r>
    <x v="32"/>
    <n v="226"/>
    <n v="11"/>
    <n v="7"/>
    <n v="3.1"/>
    <n v="234749.84"/>
    <n v="1038.72"/>
    <n v="125.59"/>
    <n v="11425.92"/>
    <n v="7271.04"/>
    <n v="4"/>
  </r>
  <r>
    <x v="33"/>
    <n v="233"/>
    <n v="13"/>
    <n v="7"/>
    <n v="3"/>
    <n v="239344.73"/>
    <n v="1027.23"/>
    <n v="242.79"/>
    <n v="13353.99"/>
    <n v="7190.6100000000006"/>
    <n v="6"/>
  </r>
  <r>
    <x v="34"/>
    <n v="238"/>
    <n v="12"/>
    <n v="9"/>
    <n v="3.78"/>
    <n v="253489.47"/>
    <n v="1065.08"/>
    <n v="234.58"/>
    <n v="12780.96"/>
    <n v="9585.7199999999993"/>
    <n v="3"/>
  </r>
  <r>
    <x v="35"/>
    <n v="240"/>
    <n v="15"/>
    <n v="9"/>
    <n v="3.75"/>
    <n v="260856.24"/>
    <n v="1086.9000000000001"/>
    <n v="238.17"/>
    <n v="16303.500000000002"/>
    <n v="9782.1"/>
    <n v="6"/>
  </r>
  <r>
    <x v="36"/>
    <n v="247"/>
    <n v="13"/>
    <n v="9"/>
    <n v="3.64"/>
    <n v="266142.93"/>
    <n v="1077.5"/>
    <n v="218.41"/>
    <n v="14007.5"/>
    <n v="9697.5"/>
    <n v="4"/>
  </r>
  <r>
    <x v="37"/>
    <n v="251"/>
    <n v="15"/>
    <n v="8"/>
    <n v="3.19"/>
    <n v="274162.53999999998"/>
    <n v="1092.28"/>
    <n v="164.96"/>
    <n v="16384.2"/>
    <n v="8738.24"/>
    <n v="7"/>
  </r>
  <r>
    <x v="38"/>
    <n v="257"/>
    <n v="18"/>
    <n v="7"/>
    <n v="2.72"/>
    <n v="280928.08"/>
    <n v="1093.1099999999999"/>
    <n v="138.82"/>
    <n v="19675.98"/>
    <n v="7651.7699999999995"/>
    <n v="11"/>
  </r>
  <r>
    <x v="39"/>
    <n v="270"/>
    <n v="13"/>
    <n v="17"/>
    <n v="6.3"/>
    <n v="287791.15000000002"/>
    <n v="1065.8900000000001"/>
    <n v="144.11000000000001"/>
    <n v="13856.570000000002"/>
    <n v="18120.13"/>
    <n v="-4"/>
  </r>
  <r>
    <x v="40"/>
    <n v="264"/>
    <n v="12"/>
    <n v="15"/>
    <n v="5.68"/>
    <n v="287207.82"/>
    <n v="1087.9100000000001"/>
    <n v="149.54"/>
    <n v="13054.920000000002"/>
    <n v="16318.650000000001"/>
    <n v="-3"/>
  </r>
  <r>
    <x v="41"/>
    <n v="261"/>
    <n v="15"/>
    <n v="11"/>
    <n v="4.21"/>
    <n v="280683.13"/>
    <n v="1075.4100000000001"/>
    <n v="238.11"/>
    <n v="16131.150000000001"/>
    <n v="11829.51"/>
    <n v="4"/>
  </r>
  <r>
    <x v="42"/>
    <n v="265"/>
    <n v="9"/>
    <n v="9"/>
    <n v="3.4"/>
    <n v="287661.73"/>
    <n v="1085.52"/>
    <n v="150.51"/>
    <n v="9769.68"/>
    <n v="9769.68"/>
    <n v="0"/>
  </r>
  <r>
    <x v="43"/>
    <n v="265"/>
    <n v="7"/>
    <n v="7"/>
    <n v="2.64"/>
    <n v="287743"/>
    <n v="1085.82"/>
    <n v="129.38"/>
    <n v="7600.74"/>
    <n v="7600.74"/>
    <n v="0"/>
  </r>
  <r>
    <x v="44"/>
    <n v="265"/>
    <n v="13"/>
    <n v="9"/>
    <n v="3.4"/>
    <n v="290824.44"/>
    <n v="1097.45"/>
    <n v="182.15"/>
    <n v="14266.85"/>
    <n v="9877.0500000000011"/>
    <n v="4"/>
  </r>
  <r>
    <x v="45"/>
    <n v="269"/>
    <n v="18"/>
    <n v="9"/>
    <n v="3.35"/>
    <n v="280089.15000000002"/>
    <n v="1041.22"/>
    <n v="250.08"/>
    <n v="18741.96"/>
    <n v="9370.98"/>
    <n v="9"/>
  </r>
  <r>
    <x v="46"/>
    <n v="278"/>
    <n v="11"/>
    <n v="9"/>
    <n v="3.24"/>
    <n v="285261.36"/>
    <n v="1026.1199999999999"/>
    <n v="254.4"/>
    <n v="11287.32"/>
    <n v="9235.0799999999981"/>
    <n v="2"/>
  </r>
  <r>
    <x v="47"/>
    <n v="281"/>
    <n v="11"/>
    <n v="4"/>
    <n v="1.42"/>
    <n v="292628.61"/>
    <n v="1041.3800000000001"/>
    <n v="151.47"/>
    <n v="11455.18"/>
    <n v="4165.5200000000004"/>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9E8382-B307-459E-8459-D8C14838998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rowHeaderCaption="feature_usage_segment">
  <location ref="G10:H14" firstHeaderRow="1" firstDataRow="1" firstDataCol="1"/>
  <pivotFields count="24">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5">
        <item x="2"/>
        <item x="3"/>
        <item x="0"/>
        <item x="1"/>
        <item t="default"/>
      </items>
    </pivotField>
    <pivotField showAll="0">
      <items count="3">
        <item x="1"/>
        <item x="0"/>
        <item t="default"/>
      </items>
    </pivotField>
    <pivotField showAll="0"/>
    <pivotField showAll="0">
      <items count="6">
        <item x="3"/>
        <item x="2"/>
        <item x="4"/>
        <item x="1"/>
        <item x="0"/>
        <item t="default"/>
      </items>
    </pivotField>
    <pivotField showAll="0"/>
    <pivotField showAll="0"/>
    <pivotField showAll="0">
      <items count="7">
        <item x="1"/>
        <item x="0"/>
        <item x="4"/>
        <item x="2"/>
        <item x="3"/>
        <item x="5"/>
        <item t="default"/>
      </items>
    </pivotField>
    <pivotField showAll="0">
      <items count="5">
        <item x="2"/>
        <item x="1"/>
        <item x="3"/>
        <item x="0"/>
        <item t="default"/>
      </items>
    </pivotField>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pivotField showAll="0"/>
    <pivotField showAll="0"/>
    <pivotField showAll="0"/>
    <pivotField showAll="0"/>
    <pivotField showAll="0"/>
    <pivotField showAll="0"/>
    <pivotField showAll="0"/>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0"/>
  </rowFields>
  <rowItems count="4">
    <i>
      <x v="1"/>
    </i>
    <i>
      <x/>
    </i>
    <i>
      <x v="2"/>
    </i>
    <i t="grand">
      <x/>
    </i>
  </rowItems>
  <colItems count="1">
    <i/>
  </colItems>
  <dataFields count="1">
    <dataField name="Count of customer_id" fld="0" subtotal="count" baseField="0" baseItem="0"/>
  </dataFields>
  <chartFormats count="8">
    <chartFormat chart="1"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20" count="1" selected="0">
            <x v="1"/>
          </reference>
        </references>
      </pivotArea>
    </chartFormat>
    <chartFormat chart="26" format="7">
      <pivotArea type="data" outline="0" fieldPosition="0">
        <references count="2">
          <reference field="4294967294" count="1" selected="0">
            <x v="0"/>
          </reference>
          <reference field="20" count="1" selected="0">
            <x v="0"/>
          </reference>
        </references>
      </pivotArea>
    </chartFormat>
    <chartFormat chart="26" format="8">
      <pivotArea type="data" outline="0" fieldPosition="0">
        <references count="2">
          <reference field="4294967294" count="1" selected="0">
            <x v="0"/>
          </reference>
          <reference field="20" count="1" selected="0">
            <x v="2"/>
          </reference>
        </references>
      </pivotArea>
    </chartFormat>
    <chartFormat chart="40"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C89163-6DC6-4C4D-A106-6A956F7403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Billing_cycle">
  <location ref="D2:E5" firstHeaderRow="1" firstDataRow="1" firstDataCol="1"/>
  <pivotFields count="24">
    <pivotField showAll="0"/>
    <pivotField showAll="0">
      <items count="5">
        <item x="2"/>
        <item x="3"/>
        <item x="0"/>
        <item x="1"/>
        <item t="default"/>
      </items>
    </pivotField>
    <pivotField axis="axisRow" showAll="0">
      <items count="3">
        <item x="1"/>
        <item x="0"/>
        <item t="default"/>
      </items>
    </pivotField>
    <pivotField showAll="0"/>
    <pivotField showAll="0">
      <items count="6">
        <item x="3"/>
        <item x="2"/>
        <item x="4"/>
        <item x="1"/>
        <item x="0"/>
        <item t="default"/>
      </items>
    </pivotField>
    <pivotField showAll="0"/>
    <pivotField showAll="0"/>
    <pivotField showAll="0"/>
    <pivotField showAll="0">
      <items count="5">
        <item x="2"/>
        <item x="1"/>
        <item x="3"/>
        <item x="0"/>
        <item t="default"/>
      </items>
    </pivotField>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3">
    <i>
      <x/>
    </i>
    <i>
      <x v="1"/>
    </i>
    <i t="grand">
      <x/>
    </i>
  </rowItems>
  <colItems count="1">
    <i/>
  </colItems>
  <dataFields count="1">
    <dataField name="Average of churn_flag" fld="17" subtotal="average" baseField="2" baseItem="0"/>
  </dataFields>
  <formats count="1">
    <format dxfId="3">
      <pivotArea collapsedLevelsAreSubtotals="1" fieldPosition="0">
        <references count="1">
          <reference field="2"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FC534-DF2E-4E1D-ADFC-BBE568135DF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gion">
  <location ref="D7:E12" firstHeaderRow="1" firstDataRow="1" firstDataCol="1"/>
  <pivotFields count="24">
    <pivotField showAll="0"/>
    <pivotField showAll="0">
      <items count="5">
        <item x="2"/>
        <item x="3"/>
        <item x="0"/>
        <item x="1"/>
        <item t="default"/>
      </items>
    </pivotField>
    <pivotField showAll="0">
      <items count="3">
        <item x="1"/>
        <item x="0"/>
        <item t="default"/>
      </items>
    </pivotField>
    <pivotField showAll="0"/>
    <pivotField showAll="0">
      <items count="6">
        <item x="3"/>
        <item x="2"/>
        <item x="4"/>
        <item x="1"/>
        <item x="0"/>
        <item t="default"/>
      </items>
    </pivotField>
    <pivotField showAll="0"/>
    <pivotField showAll="0"/>
    <pivotField showAll="0">
      <items count="7">
        <item x="1"/>
        <item x="0"/>
        <item x="4"/>
        <item x="2"/>
        <item x="3"/>
        <item x="5"/>
        <item t="default"/>
      </items>
    </pivotField>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5">
    <i>
      <x v="3"/>
    </i>
    <i>
      <x/>
    </i>
    <i>
      <x v="1"/>
    </i>
    <i>
      <x v="2"/>
    </i>
    <i t="grand">
      <x/>
    </i>
  </rowItems>
  <colItems count="1">
    <i/>
  </colItems>
  <dataFields count="1">
    <dataField name="Average of churn_flag" fld="17" subtotal="average" baseField="4" baseItem="0"/>
  </dataFields>
  <formats count="1">
    <format dxfId="4">
      <pivotArea collapsedLevelsAreSubtotals="1" fieldPosition="0">
        <references count="1">
          <reference field="8" count="0"/>
        </references>
      </pivotArea>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3DA10A-649C-43DB-9F03-9E2EF96847F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J2:K8" firstHeaderRow="1" firstDataRow="1" firstDataCol="1"/>
  <pivotFields count="24">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5">
        <item x="2"/>
        <item x="3"/>
        <item x="0"/>
        <item x="1"/>
        <item t="default"/>
      </items>
    </pivotField>
    <pivotField showAll="0">
      <items count="3">
        <item x="1"/>
        <item x="0"/>
        <item t="default"/>
      </items>
    </pivotField>
    <pivotField showAll="0"/>
    <pivotField showAll="0">
      <items count="6">
        <item x="3"/>
        <item x="2"/>
        <item x="4"/>
        <item x="1"/>
        <item x="0"/>
        <item t="default"/>
      </items>
    </pivotField>
    <pivotField showAll="0"/>
    <pivotField showAll="0"/>
    <pivotField showAll="0">
      <items count="7">
        <item x="1"/>
        <item x="0"/>
        <item x="4"/>
        <item x="2"/>
        <item x="3"/>
        <item x="5"/>
        <item t="default"/>
      </items>
    </pivotField>
    <pivotField showAll="0">
      <items count="5">
        <item x="2"/>
        <item x="1"/>
        <item x="3"/>
        <item x="0"/>
        <item t="default"/>
      </items>
    </pivotField>
    <pivotField numFmtId="14" showAll="0"/>
    <pivotField showAll="0"/>
    <pivotField axis="axisRow"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sortType="descending">
      <items count="9">
        <item x="4"/>
        <item x="5"/>
        <item x="7"/>
        <item x="6"/>
        <item x="2"/>
        <item x="0"/>
        <item x="3"/>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3"/>
    <field x="21"/>
    <field x="11"/>
  </rowFields>
  <rowItems count="6">
    <i>
      <x/>
    </i>
    <i>
      <x v="1"/>
    </i>
    <i>
      <x v="2"/>
    </i>
    <i>
      <x v="3"/>
    </i>
    <i>
      <x v="4"/>
    </i>
    <i t="grand">
      <x/>
    </i>
  </rowItems>
  <colItems count="1">
    <i/>
  </colItems>
  <dataFields count="1">
    <dataField name="Count of customer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C93B88-9AA9-4C82-9AAE-96741A6827E3}"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n">
  <location ref="D21:F26" firstHeaderRow="0" firstDataRow="1" firstDataCol="1"/>
  <pivotFields count="21">
    <pivotField axis="axisRow" showAll="0">
      <items count="6">
        <item x="2"/>
        <item x="3"/>
        <item x="0"/>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s>
  <rowFields count="1">
    <field x="0"/>
  </rowFields>
  <rowItems count="5">
    <i>
      <x/>
    </i>
    <i>
      <x v="1"/>
    </i>
    <i>
      <x v="2"/>
    </i>
    <i>
      <x v="3"/>
    </i>
    <i t="grand">
      <x/>
    </i>
  </rowItems>
  <colFields count="1">
    <field x="-2"/>
  </colFields>
  <colItems count="2">
    <i>
      <x/>
    </i>
    <i i="1">
      <x v="1"/>
    </i>
  </colItems>
  <dataFields count="2">
    <dataField name="Average of CLV" fld="18" subtotal="average" baseField="0" baseItem="0"/>
    <dataField name="Average of CLV:CAC" fld="20" subtotal="average" baseField="0" baseItem="0"/>
  </dataFields>
  <formats count="1">
    <format dxfId="5">
      <pivotArea collapsedLevelsAreSubtotals="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038FEB-E2F5-44CF-BF8B-29307E4583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cquisition_channel">
  <location ref="A9:B16" firstHeaderRow="1" firstDataRow="1" firstDataCol="1"/>
  <pivotFields count="24">
    <pivotField showAll="0"/>
    <pivotField showAll="0">
      <items count="5">
        <item x="2"/>
        <item x="3"/>
        <item x="0"/>
        <item x="1"/>
        <item t="default"/>
      </items>
    </pivotField>
    <pivotField showAll="0">
      <items count="3">
        <item x="1"/>
        <item x="0"/>
        <item t="default"/>
      </items>
    </pivotField>
    <pivotField showAll="0"/>
    <pivotField showAll="0">
      <items count="6">
        <item x="3"/>
        <item x="2"/>
        <item x="4"/>
        <item x="1"/>
        <item x="0"/>
        <item t="default"/>
      </items>
    </pivotField>
    <pivotField showAll="0"/>
    <pivotField showAll="0"/>
    <pivotField axis="axisRow" showAll="0" sortType="ascending">
      <items count="7">
        <item x="1"/>
        <item x="0"/>
        <item x="4"/>
        <item x="2"/>
        <item x="3"/>
        <item x="5"/>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7">
    <i>
      <x/>
    </i>
    <i>
      <x v="1"/>
    </i>
    <i>
      <x v="2"/>
    </i>
    <i>
      <x v="5"/>
    </i>
    <i>
      <x v="3"/>
    </i>
    <i>
      <x v="4"/>
    </i>
    <i t="grand">
      <x/>
    </i>
  </rowItems>
  <colItems count="1">
    <i/>
  </colItems>
  <dataFields count="1">
    <dataField name="Average of churn_flag" fld="17" subtotal="average" baseField="4" baseItem="0"/>
  </dataFields>
  <formats count="1">
    <format dxfId="6">
      <pivotArea collapsedLevelsAreSubtotals="1" fieldPosition="0">
        <references count="1">
          <reference field="7" count="0"/>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8480FD-060F-47D7-9896-2ED82152464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hurned_reason">
  <location ref="A18:B26" firstHeaderRow="1" firstDataRow="1" firstDataCol="1"/>
  <pivotFields count="24">
    <pivotField dataField="1" showAll="0">
      <items count="6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t="default"/>
      </items>
    </pivotField>
    <pivotField showAll="0">
      <items count="5">
        <item x="2"/>
        <item x="3"/>
        <item x="0"/>
        <item x="1"/>
        <item t="default"/>
      </items>
    </pivotField>
    <pivotField showAll="0">
      <items count="3">
        <item x="1"/>
        <item x="0"/>
        <item t="default"/>
      </items>
    </pivotField>
    <pivotField showAll="0"/>
    <pivotField showAll="0">
      <items count="6">
        <item x="3"/>
        <item x="2"/>
        <item x="4"/>
        <item x="1"/>
        <item x="0"/>
        <item t="default"/>
      </items>
    </pivotField>
    <pivotField showAll="0"/>
    <pivotField showAll="0"/>
    <pivotField showAll="0">
      <items count="7">
        <item x="1"/>
        <item x="0"/>
        <item x="4"/>
        <item x="2"/>
        <item x="3"/>
        <item x="5"/>
        <item t="default"/>
      </items>
    </pivotField>
    <pivotField showAll="0">
      <items count="5">
        <item x="2"/>
        <item x="1"/>
        <item x="3"/>
        <item x="0"/>
        <item t="default"/>
      </items>
    </pivotField>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axis="axisRow" showAll="0" sortType="ascending">
      <items count="9">
        <item x="4"/>
        <item x="5"/>
        <item x="7"/>
        <item x="6"/>
        <item x="2"/>
        <item x="0"/>
        <item x="3"/>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8">
    <i>
      <x v="6"/>
    </i>
    <i>
      <x v="2"/>
    </i>
    <i>
      <x v="3"/>
    </i>
    <i>
      <x v="4"/>
    </i>
    <i>
      <x v="1"/>
    </i>
    <i>
      <x v="5"/>
    </i>
    <i>
      <x/>
    </i>
    <i t="grand">
      <x/>
    </i>
  </rowItems>
  <colItems count="1">
    <i/>
  </colItems>
  <dataFields count="1">
    <dataField name="Count of customer_id" fld="0" subtotal="count" baseField="0" baseItem="0"/>
  </dataFields>
  <chartFormats count="4">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078366-FDDB-466B-9D7B-5E9838B1ACC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Plan">
  <location ref="A2:B7" firstHeaderRow="1" firstDataRow="1" firstDataCol="1"/>
  <pivotFields count="24">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5">
    <i>
      <x v="1"/>
    </i>
    <i>
      <x/>
    </i>
    <i>
      <x v="2"/>
    </i>
    <i>
      <x v="3"/>
    </i>
    <i t="grand">
      <x/>
    </i>
  </rowItems>
  <colItems count="1">
    <i/>
  </colItems>
  <dataFields count="1">
    <dataField name="Average of churn_flag" fld="17" subtotal="average" baseField="1" baseItem="0"/>
  </dataFields>
  <formats count="1">
    <format dxfId="7">
      <pivotArea collapsedLevelsAreSubtotals="1" fieldPosition="0">
        <references count="1">
          <reference field="1" count="0"/>
        </references>
      </pivotArea>
    </format>
  </formats>
  <chartFormats count="4">
    <chartFormat chart="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49AF1F-E74A-41A5-95B1-FC43857EA9A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lan">
  <location ref="D14:E19" firstHeaderRow="1" firstDataRow="1" firstDataCol="1"/>
  <pivotFields count="24">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6">
        <item x="3"/>
        <item x="2"/>
        <item x="4"/>
        <item x="1"/>
        <item x="0"/>
        <item t="default"/>
      </items>
    </pivotField>
    <pivotField showAll="0"/>
    <pivotField showAll="0"/>
    <pivotField showAll="0">
      <items count="7">
        <item x="1"/>
        <item x="0"/>
        <item x="4"/>
        <item x="2"/>
        <item x="3"/>
        <item x="5"/>
        <item t="default"/>
      </items>
    </pivotField>
    <pivotField showAll="0">
      <items count="5">
        <item x="2"/>
        <item x="1"/>
        <item x="3"/>
        <item x="0"/>
        <item t="default"/>
      </items>
    </pivotField>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5">
    <i>
      <x v="3"/>
    </i>
    <i>
      <x v="2"/>
    </i>
    <i>
      <x/>
    </i>
    <i>
      <x v="1"/>
    </i>
    <i t="grand">
      <x/>
    </i>
  </rowItems>
  <colItems count="1">
    <i/>
  </colItems>
  <dataFields count="1">
    <dataField name="Average of CLV" fld="19" subtotal="average" baseField="1" baseItem="0"/>
  </dataFields>
  <formats count="1">
    <format dxfId="8">
      <pivotArea collapsedLevelsAreSubtotals="1" fieldPosition="0">
        <references count="1">
          <reference field="1" count="0"/>
        </references>
      </pivotArea>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2A082A-892F-42AB-A924-729BEE9C67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mpany_size">
  <location ref="G2:H8" firstHeaderRow="1" firstDataRow="1" firstDataCol="1"/>
  <pivotFields count="24">
    <pivotField showAll="0"/>
    <pivotField showAll="0">
      <items count="5">
        <item x="2"/>
        <item x="3"/>
        <item x="0"/>
        <item x="1"/>
        <item t="default"/>
      </items>
    </pivotField>
    <pivotField showAll="0">
      <items count="3">
        <item x="1"/>
        <item x="0"/>
        <item t="default"/>
      </items>
    </pivotField>
    <pivotField showAll="0"/>
    <pivotField axis="axisRow" showAll="0" sortType="ascending">
      <items count="6">
        <item x="3"/>
        <item x="2"/>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items count="279">
        <item x="266"/>
        <item x="259"/>
        <item x="180"/>
        <item x="126"/>
        <item x="63"/>
        <item x="65"/>
        <item x="157"/>
        <item x="130"/>
        <item x="27"/>
        <item x="144"/>
        <item x="73"/>
        <item x="19"/>
        <item x="106"/>
        <item x="24"/>
        <item x="22"/>
        <item x="28"/>
        <item x="71"/>
        <item x="261"/>
        <item x="264"/>
        <item x="8"/>
        <item x="165"/>
        <item x="170"/>
        <item x="222"/>
        <item x="154"/>
        <item x="141"/>
        <item x="174"/>
        <item x="253"/>
        <item x="240"/>
        <item x="41"/>
        <item x="256"/>
        <item x="225"/>
        <item x="181"/>
        <item x="10"/>
        <item x="97"/>
        <item x="207"/>
        <item x="226"/>
        <item x="229"/>
        <item x="146"/>
        <item x="36"/>
        <item x="163"/>
        <item x="197"/>
        <item x="39"/>
        <item x="54"/>
        <item x="276"/>
        <item x="30"/>
        <item x="5"/>
        <item x="68"/>
        <item x="87"/>
        <item x="135"/>
        <item x="23"/>
        <item x="193"/>
        <item x="200"/>
        <item x="175"/>
        <item x="243"/>
        <item x="215"/>
        <item x="7"/>
        <item x="169"/>
        <item x="230"/>
        <item x="198"/>
        <item x="250"/>
        <item x="118"/>
        <item x="205"/>
        <item x="241"/>
        <item x="117"/>
        <item x="74"/>
        <item x="252"/>
        <item x="88"/>
        <item x="238"/>
        <item x="12"/>
        <item x="17"/>
        <item x="267"/>
        <item x="185"/>
        <item x="213"/>
        <item x="269"/>
        <item x="90"/>
        <item x="137"/>
        <item x="55"/>
        <item x="187"/>
        <item x="51"/>
        <item x="219"/>
        <item x="115"/>
        <item x="119"/>
        <item x="64"/>
        <item x="221"/>
        <item x="101"/>
        <item x="184"/>
        <item x="142"/>
        <item x="62"/>
        <item x="76"/>
        <item x="84"/>
        <item x="6"/>
        <item x="183"/>
        <item x="189"/>
        <item x="145"/>
        <item x="104"/>
        <item x="20"/>
        <item x="147"/>
        <item x="125"/>
        <item x="48"/>
        <item x="160"/>
        <item x="110"/>
        <item x="236"/>
        <item x="244"/>
        <item x="148"/>
        <item x="275"/>
        <item x="70"/>
        <item x="77"/>
        <item x="211"/>
        <item x="206"/>
        <item x="25"/>
        <item x="0"/>
        <item x="218"/>
        <item x="161"/>
        <item x="82"/>
        <item x="40"/>
        <item x="178"/>
        <item x="127"/>
        <item x="15"/>
        <item x="257"/>
        <item x="247"/>
        <item x="192"/>
        <item x="89"/>
        <item x="60"/>
        <item x="171"/>
        <item x="9"/>
        <item x="14"/>
        <item x="134"/>
        <item x="138"/>
        <item x="176"/>
        <item x="191"/>
        <item x="268"/>
        <item x="182"/>
        <item x="245"/>
        <item x="121"/>
        <item x="208"/>
        <item x="227"/>
        <item x="29"/>
        <item x="103"/>
        <item x="274"/>
        <item x="98"/>
        <item x="102"/>
        <item x="42"/>
        <item x="190"/>
        <item x="18"/>
        <item x="201"/>
        <item x="265"/>
        <item x="209"/>
        <item x="79"/>
        <item x="195"/>
        <item x="143"/>
        <item x="149"/>
        <item x="260"/>
        <item x="38"/>
        <item x="33"/>
        <item x="43"/>
        <item x="270"/>
        <item x="37"/>
        <item x="100"/>
        <item x="246"/>
        <item x="202"/>
        <item x="114"/>
        <item x="204"/>
        <item x="99"/>
        <item x="216"/>
        <item x="214"/>
        <item x="21"/>
        <item x="255"/>
        <item x="277"/>
        <item x="75"/>
        <item x="122"/>
        <item x="95"/>
        <item x="44"/>
        <item x="116"/>
        <item x="212"/>
        <item x="78"/>
        <item x="156"/>
        <item x="96"/>
        <item x="173"/>
        <item x="11"/>
        <item x="93"/>
        <item x="124"/>
        <item x="67"/>
        <item x="164"/>
        <item x="86"/>
        <item x="57"/>
        <item x="139"/>
        <item x="128"/>
        <item x="113"/>
        <item x="162"/>
        <item x="258"/>
        <item x="52"/>
        <item x="59"/>
        <item x="81"/>
        <item x="133"/>
        <item x="49"/>
        <item x="228"/>
        <item x="92"/>
        <item x="231"/>
        <item x="234"/>
        <item x="46"/>
        <item x="242"/>
        <item x="3"/>
        <item x="223"/>
        <item x="152"/>
        <item x="2"/>
        <item x="168"/>
        <item x="83"/>
        <item x="13"/>
        <item x="16"/>
        <item x="249"/>
        <item x="177"/>
        <item x="155"/>
        <item x="61"/>
        <item x="233"/>
        <item x="120"/>
        <item x="237"/>
        <item x="248"/>
        <item x="111"/>
        <item x="129"/>
        <item x="172"/>
        <item x="203"/>
        <item x="107"/>
        <item x="50"/>
        <item x="58"/>
        <item x="224"/>
        <item x="47"/>
        <item x="4"/>
        <item x="158"/>
        <item x="85"/>
        <item x="26"/>
        <item x="66"/>
        <item x="272"/>
        <item x="166"/>
        <item x="109"/>
        <item x="105"/>
        <item x="32"/>
        <item x="69"/>
        <item x="31"/>
        <item x="271"/>
        <item x="217"/>
        <item x="273"/>
        <item x="262"/>
        <item x="210"/>
        <item x="251"/>
        <item x="132"/>
        <item x="35"/>
        <item x="254"/>
        <item x="108"/>
        <item x="167"/>
        <item x="239"/>
        <item x="151"/>
        <item x="45"/>
        <item x="235"/>
        <item x="150"/>
        <item x="186"/>
        <item x="136"/>
        <item x="196"/>
        <item x="53"/>
        <item x="199"/>
        <item x="232"/>
        <item x="159"/>
        <item x="179"/>
        <item x="123"/>
        <item x="112"/>
        <item x="153"/>
        <item x="263"/>
        <item x="91"/>
        <item x="140"/>
        <item x="34"/>
        <item x="194"/>
        <item x="220"/>
        <item x="94"/>
        <item x="80"/>
        <item x="131"/>
        <item x="188"/>
        <item x="56"/>
        <item x="72"/>
        <item x="1"/>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6">
    <i>
      <x v="4"/>
    </i>
    <i>
      <x v="1"/>
    </i>
    <i>
      <x v="2"/>
    </i>
    <i>
      <x/>
    </i>
    <i>
      <x v="3"/>
    </i>
    <i t="grand">
      <x/>
    </i>
  </rowItems>
  <colItems count="1">
    <i/>
  </colItems>
  <dataFields count="1">
    <dataField name="Average of churn_flag" fld="17" subtotal="average" baseField="4" baseItem="0"/>
  </dataFields>
  <formats count="1">
    <format dxfId="9">
      <pivotArea collapsedLevelsAreSubtotals="1" fieldPosition="0">
        <references count="1">
          <reference field="4"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96B3ED-290E-4CF4-B447-65AFFF504EAF}"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D2:E55" firstHeaderRow="1" firstDataRow="1" firstDataCol="1"/>
  <pivotFields count="14">
    <pivotField axis="axisRow"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x="4"/>
        <item sd="0" x="5"/>
        <item t="default"/>
      </items>
    </pivotField>
  </pivotFields>
  <rowFields count="3">
    <field x="13"/>
    <field x="11"/>
    <field x="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monthly_churn_rate_pc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9B2E07-F151-4AC0-BFB6-1527B2D00E67}"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onth">
  <location ref="A2:B55" firstHeaderRow="1" firstDataRow="1" firstDataCol="1"/>
  <pivotFields count="14">
    <pivotField axis="axisRow"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7">
        <item x="0"/>
        <item x="1"/>
        <item x="2"/>
        <item x="3"/>
        <item x="4"/>
        <item x="5"/>
        <item t="default"/>
      </items>
    </pivotField>
  </pivotFields>
  <rowFields count="3">
    <field x="13"/>
    <field x="11"/>
    <field x="0"/>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total_mrr" fld="5" baseField="0" baseItem="0"/>
  </dataFields>
  <chartFormats count="4">
    <chartFormat chart="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5A0D29D-A592-46FD-AA81-AA5A5B0E18BB}"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G2:I7" firstHeaderRow="0" firstDataRow="1" firstDataCol="1"/>
  <pivotFields count="14">
    <pivotField axis="axisRow" numFmtId="14"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pivotField dataField="1" showAll="0"/>
    <pivotField dataField="1"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13"/>
    <field x="11"/>
    <field x="0"/>
  </rowFields>
  <rowItems count="5">
    <i>
      <x v="1"/>
    </i>
    <i>
      <x v="2"/>
    </i>
    <i>
      <x v="3"/>
    </i>
    <i>
      <x v="4"/>
    </i>
    <i t="grand">
      <x/>
    </i>
  </rowItems>
  <colFields count="1">
    <field x="-2"/>
  </colFields>
  <colItems count="2">
    <i>
      <x/>
    </i>
    <i i="1">
      <x v="1"/>
    </i>
  </colItems>
  <dataFields count="2">
    <dataField name="new customers" fld="2" baseField="13" baseItem="1"/>
    <dataField name="churned customers" fld="3" baseField="13" baseItem="1"/>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D7B9AA-8227-4678-AA61-78EBB0CABA02}" autoFormatId="16" applyNumberFormats="0" applyBorderFormats="0" applyFontFormats="0" applyPatternFormats="0" applyAlignmentFormats="0" applyWidthHeightFormats="0">
  <queryTableRefresh nextId="12" unboundColumnsRight="3">
    <queryTableFields count="11">
      <queryTableField id="1" name="month" tableColumnId="1"/>
      <queryTableField id="2" name="total_active_customers" tableColumnId="2"/>
      <queryTableField id="3" name="new_customers" tableColumnId="3"/>
      <queryTableField id="4" name="churned_customers" tableColumnId="4"/>
      <queryTableField id="5" name="monthly_churn_rate_pct" tableColumnId="5"/>
      <queryTableField id="6" name="total_mrr" tableColumnId="6"/>
      <queryTableField id="7" name="avg_revenue_per_customer" tableColumnId="7"/>
      <queryTableField id="8" name="customer_acquisition_cost" tableColumnId="8"/>
      <queryTableField id="9" dataBound="0"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size" xr10:uid="{051B599C-0238-4ACD-934C-CCA36CB1BF9A}" sourceName="company_size">
  <pivotTables>
    <pivotTable tabId="2" name="PivotTable2"/>
    <pivotTable tabId="2" name="PivotTable11"/>
    <pivotTable tabId="2" name="PivotTable12"/>
    <pivotTable tabId="2" name="PivotTable3"/>
    <pivotTable tabId="2" name="PivotTable4"/>
    <pivotTable tabId="2" name="PivotTable5"/>
    <pivotTable tabId="2" name="PivotTable6"/>
    <pivotTable tabId="2" name="PivotTable7"/>
  </pivotTables>
  <data>
    <tabular pivotCacheId="2103300456">
      <items count="5">
        <i x="3" s="1"/>
        <i x="2" s="1"/>
        <i x="4"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lling_cycle" xr10:uid="{263BC8C1-FAFC-45D5-9F63-390D3A146AA8}" sourceName="billing_cycle">
  <pivotTables>
    <pivotTable tabId="2" name="PivotTable2"/>
    <pivotTable tabId="2" name="PivotTable11"/>
    <pivotTable tabId="2" name="PivotTable12"/>
    <pivotTable tabId="2" name="PivotTable3"/>
    <pivotTable tabId="2" name="PivotTable4"/>
    <pivotTable tabId="2" name="PivotTable5"/>
    <pivotTable tabId="2" name="PivotTable6"/>
    <pivotTable tabId="2" name="PivotTable7"/>
  </pivotTables>
  <data>
    <tabular pivotCacheId="21033004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size" xr10:uid="{BB7E2A1B-AE51-4203-B853-582720BA5B64}" cache="Slicer_company_size" caption="Company Size" columnCount="3" style="Slicer Style 2" rowHeight="257175"/>
  <slicer name="billing_cycle" xr10:uid="{18BEC330-D446-4CF3-900C-09808CAE3677}" cache="Slicer_billing_cycle" caption="Billing Cycle" columnCount="2" style="Slicer Style 2"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0C891E-E258-4A95-AE2D-64BAA3EEF75E}" name="subscriptions" displayName="subscriptions" ref="A1:V601" totalsRowShown="0">
  <autoFilter ref="A1:V601" xr:uid="{EA0C891E-E258-4A95-AE2D-64BAA3EEF75E}"/>
  <tableColumns count="22">
    <tableColumn id="1" xr3:uid="{92E0CC41-0098-4E0C-B642-51404E00FFCD}" name="customer_id"/>
    <tableColumn id="2" xr3:uid="{3C869F9B-2F09-48B9-8BFD-A744B37964E2}" name="plan"/>
    <tableColumn id="3" xr3:uid="{25D55310-DC25-4324-841E-B711E06D7911}" name="billing_cycle"/>
    <tableColumn id="4" xr3:uid="{5A5F9A8B-876D-4412-B595-06C3AE0E7234}" name="industry"/>
    <tableColumn id="20" xr3:uid="{DB77BC1B-A608-450D-8F45-238F3BE12E99}" name="company_size" dataDxfId="20"/>
    <tableColumn id="6" xr3:uid="{12BC67DB-74FB-4804-99A4-D40F4403CFB1}" name="seats"/>
    <tableColumn id="7" xr3:uid="{E3DA1424-09A1-4247-9974-DF07CACA8573}" name="monthly_revenue"/>
    <tableColumn id="8" xr3:uid="{01B691C5-6137-4880-BE36-C96948CFF671}" name="acquisition_channel"/>
    <tableColumn id="9" xr3:uid="{84568D78-D522-4C00-A75D-672CE96C6CF9}" name="region"/>
    <tableColumn id="10" xr3:uid="{3972BE74-F9C5-4D15-8614-2A9224D486BC}" name="signup_date" dataDxfId="19"/>
    <tableColumn id="11" xr3:uid="{5B9CBB7B-A740-4665-9AD1-5904DE2D7F11}" name="churned"/>
    <tableColumn id="12" xr3:uid="{6E37FDF5-0D73-4E2B-848C-2A283472A80F}" name="churn_date"/>
    <tableColumn id="13" xr3:uid="{4F4DCC59-4994-4FC4-9605-438CF30E70FD}" name="churn_reason"/>
    <tableColumn id="14" xr3:uid="{374940DC-2AF1-4099-A753-F30801F72CBA}" name="support_tickets_12mo"/>
    <tableColumn id="15" xr3:uid="{8EC5ACF3-DE46-4ACD-9E5F-9DAC3454EDFC}" name="nps_score"/>
    <tableColumn id="16" xr3:uid="{8BAFB7EE-253D-42BB-A72A-86D6A47EED79}" name="feature_usage_pct"/>
    <tableColumn id="17" xr3:uid="{4DB27606-01FF-4882-80B2-7971D601C3CB}" name="upgraded"/>
    <tableColumn id="21" xr3:uid="{FFD65503-539A-41EE-8BC1-FC574313884A}" name="churn_flag" dataDxfId="18">
      <calculatedColumnFormula>IF(subscriptions[[#This Row],[churned]]="Yes",1,0)</calculatedColumnFormula>
    </tableColumn>
    <tableColumn id="22" xr3:uid="{3BFBCA7D-D1F6-4C8A-AAB9-3E35298022A0}" name="customer_lifetime" dataDxfId="17">
      <calculatedColumnFormula>IF(subscriptions[[#This Row],[churn_flag]]=1, DATEDIF(subscriptions[[#This Row],[signup_date]],subscriptions[[#This Row],[churn_date]],"M"), DATEDIF(subscriptions[[#This Row],[signup_date]],TODAY(),"M"))</calculatedColumnFormula>
    </tableColumn>
    <tableColumn id="23" xr3:uid="{296AF85B-9B27-4412-8357-6257F8472E3F}" name="CLV" dataDxfId="16">
      <calculatedColumnFormula>subscriptions[[#This Row],[monthly_revenue]]*subscriptions[[#This Row],[customer_lifetime]]</calculatedColumnFormula>
    </tableColumn>
    <tableColumn id="24" xr3:uid="{35B0367B-470D-4C1A-A903-47E209E7D013}" name="feature_usage_segmentation" dataDxfId="15">
      <calculatedColumnFormula>IF(subscriptions[[#This Row],[feature_usage_pct]]&lt;30,"High Risk",IF(subscriptions[[#This Row],[feature_usage_pct]]&lt;60,"Medium Risk","Low Risk"))</calculatedColumnFormula>
    </tableColumn>
    <tableColumn id="25" xr3:uid="{77F92536-3488-4829-86C4-D85A6E17A51D}" name="CLV:CAC" dataDxfId="14">
      <calculatedColumnFormula>subscriptions[[#This Row],[CLV]]/200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2BCB4C-1364-48EB-A4E9-F217DB87FAA3}" name="monthly_revenue" displayName="monthly_revenue" ref="A1:K49" tableType="queryTable" totalsRowShown="0">
  <autoFilter ref="A1:K49" xr:uid="{352BCB4C-1364-48EB-A4E9-F217DB87FAA3}"/>
  <tableColumns count="11">
    <tableColumn id="1" xr3:uid="{ACEAC08C-329B-4DD3-9727-FE249E43A86D}" uniqueName="1" name="month" queryTableFieldId="1" dataDxfId="13"/>
    <tableColumn id="2" xr3:uid="{B1A92CA2-3304-4799-8F72-FB8CA6E63F07}" uniqueName="2" name="total_active_customers" queryTableFieldId="2"/>
    <tableColumn id="3" xr3:uid="{016134BB-EAAF-4159-BB72-7E91CB735EDC}" uniqueName="3" name="new_customers" queryTableFieldId="3"/>
    <tableColumn id="4" xr3:uid="{D65A81D1-F90C-4A78-9135-DEA68EA53AE7}" uniqueName="4" name="churned_customers" queryTableFieldId="4"/>
    <tableColumn id="5" xr3:uid="{5DA742F5-0845-4AB2-9653-E1975C9EF982}" uniqueName="5" name="monthly_churn_rate_pct" queryTableFieldId="5"/>
    <tableColumn id="6" xr3:uid="{F08273FB-6E7D-4C6A-A2C5-2439315499C4}" uniqueName="6" name="total_mrr" queryTableFieldId="6"/>
    <tableColumn id="7" xr3:uid="{0E6D2660-1431-492A-B945-361736357662}" uniqueName="7" name="avg_revenue_per_customer" queryTableFieldId="7"/>
    <tableColumn id="8" xr3:uid="{F2DA7D67-9EA2-4AD8-ACDD-F468B224588A}" uniqueName="8" name="customer_acquisition_cost" queryTableFieldId="8"/>
    <tableColumn id="9" xr3:uid="{4A839B13-B1D5-4D9D-8B5E-03197458A8D9}" uniqueName="9" name="new_mrr" queryTableFieldId="9" dataDxfId="12">
      <calculatedColumnFormula>monthly_revenue[[#This Row],[new_customers]]*monthly_revenue[[#This Row],[avg_revenue_per_customer]]</calculatedColumnFormula>
    </tableColumn>
    <tableColumn id="10" xr3:uid="{0A9F2AE4-7469-40F9-83C6-FB356131FB04}" uniqueName="10" name="churned_mrr" queryTableFieldId="10" dataDxfId="11">
      <calculatedColumnFormula>monthly_revenue[[#This Row],[churned_customers]]*monthly_revenue[[#This Row],[avg_revenue_per_customer]]</calculatedColumnFormula>
    </tableColumn>
    <tableColumn id="11" xr3:uid="{3920BC5A-1F68-4E5A-98F7-A6C6DE59086D}" uniqueName="11" name="net_customer_growth" queryTableFieldId="11" dataDxfId="10">
      <calculatedColumnFormula>monthly_revenue[[#This Row],[new_customers]]-monthly_revenue[[#This Row],[churned_customers]]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002060"/>
        </a:solidFill>
        <a:ln>
          <a:solidFill>
            <a:srgbClr val="002060"/>
          </a:solidFill>
        </a:ln>
        <a:effectLst>
          <a:innerShdw blurRad="63500" dist="50800" dir="18900000">
            <a:schemeClr val="accent2">
              <a:lumMod val="75000"/>
              <a:alpha val="50000"/>
            </a:schemeClr>
          </a:innerShdw>
        </a:effectLst>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3350-6584-4C79-8B2F-6BC731333CE0}">
  <dimension ref="A1:X601"/>
  <sheetViews>
    <sheetView topLeftCell="A2" workbookViewId="0">
      <selection activeCell="H11" sqref="H11"/>
    </sheetView>
  </sheetViews>
  <sheetFormatPr defaultRowHeight="15" x14ac:dyDescent="0.25"/>
  <cols>
    <col min="1" max="1" width="13.5703125" customWidth="1"/>
    <col min="3" max="3" width="13.5703125" customWidth="1"/>
    <col min="4" max="4" width="9.85546875" customWidth="1"/>
    <col min="5" max="5" width="15.140625" style="2" customWidth="1"/>
    <col min="7" max="7" width="18.140625" customWidth="1"/>
    <col min="8" max="8" width="20.42578125" customWidth="1"/>
    <col min="10" max="10" width="13.5703125" customWidth="1"/>
    <col min="11" max="11" width="10.140625" customWidth="1"/>
    <col min="12" max="12" width="12.7109375" customWidth="1"/>
    <col min="13" max="13" width="15" customWidth="1"/>
    <col min="14" max="14" width="22.140625" customWidth="1"/>
    <col min="15" max="15" width="12" customWidth="1"/>
    <col min="16" max="16" width="19.28515625" customWidth="1"/>
    <col min="17" max="17" width="11.28515625" customWidth="1"/>
    <col min="18" max="18" width="11" bestFit="1" customWidth="1"/>
    <col min="19" max="19" width="17.42578125" bestFit="1" customWidth="1"/>
    <col min="21" max="21" width="11.42578125" customWidth="1"/>
  </cols>
  <sheetData>
    <row r="1" spans="1:24" x14ac:dyDescent="0.25">
      <c r="A1" t="s">
        <v>0</v>
      </c>
      <c r="B1" t="s">
        <v>1</v>
      </c>
      <c r="C1" t="s">
        <v>2</v>
      </c>
      <c r="D1" t="s">
        <v>3</v>
      </c>
      <c r="E1" s="2" t="s">
        <v>4</v>
      </c>
      <c r="F1" t="s">
        <v>5</v>
      </c>
      <c r="G1" t="s">
        <v>6</v>
      </c>
      <c r="H1" t="s">
        <v>7</v>
      </c>
      <c r="I1" t="s">
        <v>8</v>
      </c>
      <c r="J1" t="s">
        <v>9</v>
      </c>
      <c r="K1" t="s">
        <v>10</v>
      </c>
      <c r="L1" t="s">
        <v>11</v>
      </c>
      <c r="M1" t="s">
        <v>12</v>
      </c>
      <c r="N1" t="s">
        <v>13</v>
      </c>
      <c r="O1" t="s">
        <v>14</v>
      </c>
      <c r="P1" t="s">
        <v>15</v>
      </c>
      <c r="Q1" t="s">
        <v>16</v>
      </c>
      <c r="R1" t="s">
        <v>665</v>
      </c>
      <c r="S1" t="s">
        <v>667</v>
      </c>
      <c r="T1" t="s">
        <v>666</v>
      </c>
      <c r="U1" t="s">
        <v>671</v>
      </c>
      <c r="V1" t="s">
        <v>702</v>
      </c>
    </row>
    <row r="2" spans="1:24" x14ac:dyDescent="0.25">
      <c r="A2" t="s">
        <v>17</v>
      </c>
      <c r="B2" t="s">
        <v>18</v>
      </c>
      <c r="C2" t="s">
        <v>19</v>
      </c>
      <c r="D2" t="s">
        <v>20</v>
      </c>
      <c r="E2" s="2" t="s">
        <v>21</v>
      </c>
      <c r="F2">
        <v>64</v>
      </c>
      <c r="G2">
        <v>825.55</v>
      </c>
      <c r="H2" t="s">
        <v>22</v>
      </c>
      <c r="I2" t="s">
        <v>23</v>
      </c>
      <c r="J2" s="1">
        <v>44739</v>
      </c>
      <c r="K2" t="s">
        <v>24</v>
      </c>
      <c r="L2" s="1">
        <v>45356</v>
      </c>
      <c r="M2" t="s">
        <v>25</v>
      </c>
      <c r="N2">
        <v>13</v>
      </c>
      <c r="O2">
        <v>3</v>
      </c>
      <c r="P2">
        <v>15</v>
      </c>
      <c r="Q2" t="s">
        <v>26</v>
      </c>
      <c r="R2">
        <f>IF(subscriptions[[#This Row],[churned]]="Yes",1,0)</f>
        <v>1</v>
      </c>
      <c r="S2">
        <f ca="1">IF(subscriptions[[#This Row],[churn_flag]]=1, DATEDIF(subscriptions[[#This Row],[signup_date]],subscriptions[[#This Row],[churn_date]],"M"), DATEDIF(subscriptions[[#This Row],[signup_date]],TODAY(),"M"))</f>
        <v>20</v>
      </c>
      <c r="T2">
        <f ca="1">subscriptions[[#This Row],[monthly_revenue]]*subscriptions[[#This Row],[customer_lifetime]]</f>
        <v>16511</v>
      </c>
      <c r="U2" t="str">
        <f>IF(subscriptions[[#This Row],[feature_usage_pct]]&lt;30,"High Risk",IF(subscriptions[[#This Row],[feature_usage_pct]]&lt;60,"Medium Risk","Low Risk"))</f>
        <v>High Risk</v>
      </c>
      <c r="V2">
        <f ca="1">subscriptions[[#This Row],[CLV]]/200</f>
        <v>82.555000000000007</v>
      </c>
      <c r="X2" t="s">
        <v>704</v>
      </c>
    </row>
    <row r="3" spans="1:24" x14ac:dyDescent="0.25">
      <c r="A3" t="s">
        <v>27</v>
      </c>
      <c r="B3" t="s">
        <v>18</v>
      </c>
      <c r="C3" t="s">
        <v>28</v>
      </c>
      <c r="D3" t="s">
        <v>20</v>
      </c>
      <c r="E3" s="2" t="s">
        <v>21</v>
      </c>
      <c r="F3">
        <v>35</v>
      </c>
      <c r="G3">
        <v>409.62</v>
      </c>
      <c r="H3" t="s">
        <v>29</v>
      </c>
      <c r="I3" t="s">
        <v>23</v>
      </c>
      <c r="J3" s="1">
        <v>45004</v>
      </c>
      <c r="K3" t="s">
        <v>26</v>
      </c>
      <c r="N3">
        <v>1</v>
      </c>
      <c r="O3">
        <v>3</v>
      </c>
      <c r="P3">
        <v>52</v>
      </c>
      <c r="Q3" t="s">
        <v>24</v>
      </c>
      <c r="R3">
        <f>IF(subscriptions[[#This Row],[churned]]="Yes",1,0)</f>
        <v>0</v>
      </c>
      <c r="S3">
        <f ca="1">IF(subscriptions[[#This Row],[churn_flag]]=1, DATEDIF(subscriptions[[#This Row],[signup_date]],subscriptions[[#This Row],[churn_date]],"M"), DATEDIF(subscriptions[[#This Row],[signup_date]],TODAY(),"M"))</f>
        <v>37</v>
      </c>
      <c r="T3">
        <f ca="1">subscriptions[[#This Row],[monthly_revenue]]*subscriptions[[#This Row],[customer_lifetime]]</f>
        <v>15155.94</v>
      </c>
      <c r="U3" t="str">
        <f>IF(subscriptions[[#This Row],[feature_usage_pct]]&lt;30,"High Risk",IF(subscriptions[[#This Row],[feature_usage_pct]]&lt;60,"Medium Risk","Low Risk"))</f>
        <v>Medium Risk</v>
      </c>
      <c r="V3">
        <f ca="1">subscriptions[[#This Row],[CLV]]/200</f>
        <v>75.779700000000005</v>
      </c>
      <c r="X3">
        <f>COUNTA(A:A)</f>
        <v>601</v>
      </c>
    </row>
    <row r="4" spans="1:24" x14ac:dyDescent="0.25">
      <c r="A4" t="s">
        <v>30</v>
      </c>
      <c r="B4" t="s">
        <v>31</v>
      </c>
      <c r="C4" t="s">
        <v>28</v>
      </c>
      <c r="D4" t="s">
        <v>32</v>
      </c>
      <c r="E4" s="2" t="s">
        <v>33</v>
      </c>
      <c r="F4">
        <v>266</v>
      </c>
      <c r="G4">
        <v>1004.49</v>
      </c>
      <c r="H4" t="s">
        <v>34</v>
      </c>
      <c r="I4" t="s">
        <v>23</v>
      </c>
      <c r="J4" s="1">
        <v>45584</v>
      </c>
      <c r="K4" t="s">
        <v>24</v>
      </c>
      <c r="L4" s="1">
        <v>45760</v>
      </c>
      <c r="M4" t="s">
        <v>25</v>
      </c>
      <c r="N4">
        <v>10</v>
      </c>
      <c r="O4">
        <v>4</v>
      </c>
      <c r="P4">
        <v>31</v>
      </c>
      <c r="Q4" t="s">
        <v>26</v>
      </c>
      <c r="R4">
        <f>IF(subscriptions[[#This Row],[churned]]="Yes",1,0)</f>
        <v>1</v>
      </c>
      <c r="S4">
        <f ca="1">IF(subscriptions[[#This Row],[churn_flag]]=1, DATEDIF(subscriptions[[#This Row],[signup_date]],subscriptions[[#This Row],[churn_date]],"M"), DATEDIF(subscriptions[[#This Row],[signup_date]],TODAY(),"M"))</f>
        <v>5</v>
      </c>
      <c r="T4">
        <f ca="1">subscriptions[[#This Row],[monthly_revenue]]*subscriptions[[#This Row],[customer_lifetime]]</f>
        <v>5022.45</v>
      </c>
      <c r="U4" t="str">
        <f>IF(subscriptions[[#This Row],[feature_usage_pct]]&lt;30,"High Risk",IF(subscriptions[[#This Row],[feature_usage_pct]]&lt;60,"Medium Risk","Low Risk"))</f>
        <v>Medium Risk</v>
      </c>
      <c r="V4">
        <f ca="1">subscriptions[[#This Row],[CLV]]/200</f>
        <v>25.11225</v>
      </c>
    </row>
    <row r="5" spans="1:24" x14ac:dyDescent="0.25">
      <c r="A5" t="s">
        <v>35</v>
      </c>
      <c r="B5" t="s">
        <v>36</v>
      </c>
      <c r="C5" t="s">
        <v>28</v>
      </c>
      <c r="D5" t="s">
        <v>37</v>
      </c>
      <c r="E5" s="2" t="s">
        <v>663</v>
      </c>
      <c r="F5">
        <v>34</v>
      </c>
      <c r="G5">
        <v>1006.44</v>
      </c>
      <c r="H5" t="s">
        <v>34</v>
      </c>
      <c r="I5" t="s">
        <v>38</v>
      </c>
      <c r="J5" s="1">
        <v>44933</v>
      </c>
      <c r="K5" t="s">
        <v>26</v>
      </c>
      <c r="N5">
        <v>3</v>
      </c>
      <c r="O5">
        <v>7</v>
      </c>
      <c r="P5">
        <v>58</v>
      </c>
      <c r="Q5" t="s">
        <v>26</v>
      </c>
      <c r="R5">
        <f>IF(subscriptions[[#This Row],[churned]]="Yes",1,0)</f>
        <v>0</v>
      </c>
      <c r="S5">
        <f ca="1">IF(subscriptions[[#This Row],[churn_flag]]=1, DATEDIF(subscriptions[[#This Row],[signup_date]],subscriptions[[#This Row],[churn_date]],"M"), DATEDIF(subscriptions[[#This Row],[signup_date]],TODAY(),"M"))</f>
        <v>40</v>
      </c>
      <c r="T5">
        <f ca="1">subscriptions[[#This Row],[monthly_revenue]]*subscriptions[[#This Row],[customer_lifetime]]</f>
        <v>40257.600000000006</v>
      </c>
      <c r="U5" t="str">
        <f>IF(subscriptions[[#This Row],[feature_usage_pct]]&lt;30,"High Risk",IF(subscriptions[[#This Row],[feature_usage_pct]]&lt;60,"Medium Risk","Low Risk"))</f>
        <v>Medium Risk</v>
      </c>
      <c r="V5">
        <f ca="1">subscriptions[[#This Row],[CLV]]/200</f>
        <v>201.28800000000004</v>
      </c>
      <c r="X5" t="s">
        <v>705</v>
      </c>
    </row>
    <row r="6" spans="1:24" x14ac:dyDescent="0.25">
      <c r="A6" t="s">
        <v>39</v>
      </c>
      <c r="B6" t="s">
        <v>31</v>
      </c>
      <c r="C6" t="s">
        <v>28</v>
      </c>
      <c r="D6" t="s">
        <v>40</v>
      </c>
      <c r="E6" s="2" t="s">
        <v>21</v>
      </c>
      <c r="F6">
        <v>48</v>
      </c>
      <c r="G6">
        <v>198.43</v>
      </c>
      <c r="H6" t="s">
        <v>29</v>
      </c>
      <c r="I6" t="s">
        <v>23</v>
      </c>
      <c r="J6" s="1">
        <v>45923</v>
      </c>
      <c r="K6" t="s">
        <v>26</v>
      </c>
      <c r="N6">
        <v>3</v>
      </c>
      <c r="O6">
        <v>7</v>
      </c>
      <c r="P6">
        <v>59</v>
      </c>
      <c r="Q6" t="s">
        <v>26</v>
      </c>
      <c r="R6">
        <f>IF(subscriptions[[#This Row],[churned]]="Yes",1,0)</f>
        <v>0</v>
      </c>
      <c r="S6">
        <f ca="1">IF(subscriptions[[#This Row],[churn_flag]]=1, DATEDIF(subscriptions[[#This Row],[signup_date]],subscriptions[[#This Row],[churn_date]],"M"), DATEDIF(subscriptions[[#This Row],[signup_date]],TODAY(),"M"))</f>
        <v>7</v>
      </c>
      <c r="T6">
        <f ca="1">subscriptions[[#This Row],[monthly_revenue]]*subscriptions[[#This Row],[customer_lifetime]]</f>
        <v>1389.01</v>
      </c>
      <c r="U6" t="str">
        <f>IF(subscriptions[[#This Row],[feature_usage_pct]]&lt;30,"High Risk",IF(subscriptions[[#This Row],[feature_usage_pct]]&lt;60,"Medium Risk","Low Risk"))</f>
        <v>Medium Risk</v>
      </c>
      <c r="V6">
        <f ca="1">subscriptions[[#This Row],[CLV]]/200</f>
        <v>6.9450500000000002</v>
      </c>
      <c r="X6">
        <f ca="1">AVERAGE(T:T)</f>
        <v>16003.880783333316</v>
      </c>
    </row>
    <row r="7" spans="1:24" x14ac:dyDescent="0.25">
      <c r="A7" t="s">
        <v>41</v>
      </c>
      <c r="B7" t="s">
        <v>36</v>
      </c>
      <c r="C7" t="s">
        <v>28</v>
      </c>
      <c r="D7" t="s">
        <v>42</v>
      </c>
      <c r="E7" s="2" t="s">
        <v>664</v>
      </c>
      <c r="F7">
        <v>3</v>
      </c>
      <c r="G7">
        <v>219.9</v>
      </c>
      <c r="H7" t="s">
        <v>43</v>
      </c>
      <c r="I7" t="s">
        <v>23</v>
      </c>
      <c r="J7" s="1">
        <v>45197</v>
      </c>
      <c r="K7" t="s">
        <v>26</v>
      </c>
      <c r="N7">
        <v>12</v>
      </c>
      <c r="O7">
        <v>3</v>
      </c>
      <c r="P7">
        <v>48</v>
      </c>
      <c r="Q7" t="s">
        <v>26</v>
      </c>
      <c r="R7">
        <f>IF(subscriptions[[#This Row],[churned]]="Yes",1,0)</f>
        <v>0</v>
      </c>
      <c r="S7">
        <f ca="1">IF(subscriptions[[#This Row],[churn_flag]]=1, DATEDIF(subscriptions[[#This Row],[signup_date]],subscriptions[[#This Row],[churn_date]],"M"), DATEDIF(subscriptions[[#This Row],[signup_date]],TODAY(),"M"))</f>
        <v>31</v>
      </c>
      <c r="T7">
        <f ca="1">subscriptions[[#This Row],[monthly_revenue]]*subscriptions[[#This Row],[customer_lifetime]]</f>
        <v>6816.9000000000005</v>
      </c>
      <c r="U7" t="str">
        <f>IF(subscriptions[[#This Row],[feature_usage_pct]]&lt;30,"High Risk",IF(subscriptions[[#This Row],[feature_usage_pct]]&lt;60,"Medium Risk","Low Risk"))</f>
        <v>Medium Risk</v>
      </c>
      <c r="V7">
        <f ca="1">subscriptions[[#This Row],[CLV]]/200</f>
        <v>34.084500000000006</v>
      </c>
    </row>
    <row r="8" spans="1:24" x14ac:dyDescent="0.25">
      <c r="A8" t="s">
        <v>44</v>
      </c>
      <c r="B8" t="s">
        <v>31</v>
      </c>
      <c r="C8" t="s">
        <v>19</v>
      </c>
      <c r="D8" t="s">
        <v>32</v>
      </c>
      <c r="E8" s="2" t="s">
        <v>45</v>
      </c>
      <c r="F8">
        <v>121</v>
      </c>
      <c r="G8">
        <v>551</v>
      </c>
      <c r="H8" t="s">
        <v>34</v>
      </c>
      <c r="I8" t="s">
        <v>38</v>
      </c>
      <c r="J8" s="1">
        <v>45358</v>
      </c>
      <c r="K8" t="s">
        <v>24</v>
      </c>
      <c r="L8" s="1">
        <v>45755</v>
      </c>
      <c r="M8" t="s">
        <v>46</v>
      </c>
      <c r="N8">
        <v>0</v>
      </c>
      <c r="O8">
        <v>2</v>
      </c>
      <c r="P8">
        <v>14</v>
      </c>
      <c r="Q8" t="s">
        <v>26</v>
      </c>
      <c r="R8">
        <f>IF(subscriptions[[#This Row],[churned]]="Yes",1,0)</f>
        <v>1</v>
      </c>
      <c r="S8">
        <f ca="1">IF(subscriptions[[#This Row],[churn_flag]]=1, DATEDIF(subscriptions[[#This Row],[signup_date]],subscriptions[[#This Row],[churn_date]],"M"), DATEDIF(subscriptions[[#This Row],[signup_date]],TODAY(),"M"))</f>
        <v>13</v>
      </c>
      <c r="T8">
        <f ca="1">subscriptions[[#This Row],[monthly_revenue]]*subscriptions[[#This Row],[customer_lifetime]]</f>
        <v>7163</v>
      </c>
      <c r="U8" t="str">
        <f>IF(subscriptions[[#This Row],[feature_usage_pct]]&lt;30,"High Risk",IF(subscriptions[[#This Row],[feature_usage_pct]]&lt;60,"Medium Risk","Low Risk"))</f>
        <v>High Risk</v>
      </c>
      <c r="V8">
        <f ca="1">subscriptions[[#This Row],[CLV]]/200</f>
        <v>35.814999999999998</v>
      </c>
      <c r="X8" t="s">
        <v>706</v>
      </c>
    </row>
    <row r="9" spans="1:24" x14ac:dyDescent="0.25">
      <c r="A9" t="s">
        <v>47</v>
      </c>
      <c r="B9" t="s">
        <v>31</v>
      </c>
      <c r="C9" t="s">
        <v>19</v>
      </c>
      <c r="D9" t="s">
        <v>42</v>
      </c>
      <c r="E9" s="2" t="s">
        <v>21</v>
      </c>
      <c r="F9">
        <v>48</v>
      </c>
      <c r="G9">
        <v>233.45</v>
      </c>
      <c r="H9" t="s">
        <v>43</v>
      </c>
      <c r="I9" t="s">
        <v>38</v>
      </c>
      <c r="J9" s="1">
        <v>45755</v>
      </c>
      <c r="K9" t="s">
        <v>24</v>
      </c>
      <c r="L9" s="1">
        <v>45816</v>
      </c>
      <c r="M9" t="s">
        <v>25</v>
      </c>
      <c r="N9">
        <v>10</v>
      </c>
      <c r="O9">
        <v>2</v>
      </c>
      <c r="P9">
        <v>28</v>
      </c>
      <c r="Q9" t="s">
        <v>26</v>
      </c>
      <c r="R9">
        <f>IF(subscriptions[[#This Row],[churned]]="Yes",1,0)</f>
        <v>1</v>
      </c>
      <c r="S9">
        <f ca="1">IF(subscriptions[[#This Row],[churn_flag]]=1, DATEDIF(subscriptions[[#This Row],[signup_date]],subscriptions[[#This Row],[churn_date]],"M"), DATEDIF(subscriptions[[#This Row],[signup_date]],TODAY(),"M"))</f>
        <v>2</v>
      </c>
      <c r="T9">
        <f ca="1">subscriptions[[#This Row],[monthly_revenue]]*subscriptions[[#This Row],[customer_lifetime]]</f>
        <v>466.9</v>
      </c>
      <c r="U9" t="str">
        <f>IF(subscriptions[[#This Row],[feature_usage_pct]]&lt;30,"High Risk",IF(subscriptions[[#This Row],[feature_usage_pct]]&lt;60,"Medium Risk","Low Risk"))</f>
        <v>High Risk</v>
      </c>
      <c r="V9">
        <f ca="1">subscriptions[[#This Row],[CLV]]/200</f>
        <v>2.3344999999999998</v>
      </c>
      <c r="X9" s="8">
        <f>SUM(R:R)/X3</f>
        <v>0.52079866888519133</v>
      </c>
    </row>
    <row r="10" spans="1:24" x14ac:dyDescent="0.25">
      <c r="A10" t="s">
        <v>48</v>
      </c>
      <c r="B10" t="s">
        <v>31</v>
      </c>
      <c r="C10" t="s">
        <v>19</v>
      </c>
      <c r="D10" t="s">
        <v>49</v>
      </c>
      <c r="E10" s="2" t="s">
        <v>664</v>
      </c>
      <c r="F10">
        <v>3</v>
      </c>
      <c r="G10">
        <v>37.700000000000003</v>
      </c>
      <c r="H10" t="s">
        <v>34</v>
      </c>
      <c r="I10" t="s">
        <v>23</v>
      </c>
      <c r="J10" s="1">
        <v>44948</v>
      </c>
      <c r="K10" t="s">
        <v>24</v>
      </c>
      <c r="L10" s="1">
        <v>45037</v>
      </c>
      <c r="M10" t="s">
        <v>50</v>
      </c>
      <c r="N10">
        <v>5</v>
      </c>
      <c r="O10">
        <v>6</v>
      </c>
      <c r="P10">
        <v>15</v>
      </c>
      <c r="Q10" t="s">
        <v>26</v>
      </c>
      <c r="R10">
        <f>IF(subscriptions[[#This Row],[churned]]="Yes",1,0)</f>
        <v>1</v>
      </c>
      <c r="S10">
        <f ca="1">IF(subscriptions[[#This Row],[churn_flag]]=1, DATEDIF(subscriptions[[#This Row],[signup_date]],subscriptions[[#This Row],[churn_date]],"M"), DATEDIF(subscriptions[[#This Row],[signup_date]],TODAY(),"M"))</f>
        <v>2</v>
      </c>
      <c r="T10">
        <f ca="1">subscriptions[[#This Row],[monthly_revenue]]*subscriptions[[#This Row],[customer_lifetime]]</f>
        <v>75.400000000000006</v>
      </c>
      <c r="U10" t="str">
        <f>IF(subscriptions[[#This Row],[feature_usage_pct]]&lt;30,"High Risk",IF(subscriptions[[#This Row],[feature_usage_pct]]&lt;60,"Medium Risk","Low Risk"))</f>
        <v>High Risk</v>
      </c>
      <c r="V10">
        <f ca="1">subscriptions[[#This Row],[CLV]]/200</f>
        <v>0.377</v>
      </c>
    </row>
    <row r="11" spans="1:24" x14ac:dyDescent="0.25">
      <c r="A11" t="s">
        <v>51</v>
      </c>
      <c r="B11" t="s">
        <v>36</v>
      </c>
      <c r="C11" t="s">
        <v>19</v>
      </c>
      <c r="D11" t="s">
        <v>52</v>
      </c>
      <c r="E11" s="2" t="s">
        <v>21</v>
      </c>
      <c r="F11">
        <v>80</v>
      </c>
      <c r="G11">
        <v>2557.15</v>
      </c>
      <c r="H11" t="s">
        <v>34</v>
      </c>
      <c r="I11" t="s">
        <v>23</v>
      </c>
      <c r="J11" s="1">
        <v>44739</v>
      </c>
      <c r="K11" t="s">
        <v>24</v>
      </c>
      <c r="L11" s="1">
        <v>45261</v>
      </c>
      <c r="M11" t="s">
        <v>53</v>
      </c>
      <c r="N11">
        <v>3</v>
      </c>
      <c r="O11">
        <v>4</v>
      </c>
      <c r="P11">
        <v>48</v>
      </c>
      <c r="Q11" t="s">
        <v>26</v>
      </c>
      <c r="R11">
        <f>IF(subscriptions[[#This Row],[churned]]="Yes",1,0)</f>
        <v>1</v>
      </c>
      <c r="S11">
        <f ca="1">IF(subscriptions[[#This Row],[churn_flag]]=1, DATEDIF(subscriptions[[#This Row],[signup_date]],subscriptions[[#This Row],[churn_date]],"M"), DATEDIF(subscriptions[[#This Row],[signup_date]],TODAY(),"M"))</f>
        <v>17</v>
      </c>
      <c r="T11">
        <f ca="1">subscriptions[[#This Row],[monthly_revenue]]*subscriptions[[#This Row],[customer_lifetime]]</f>
        <v>43471.55</v>
      </c>
      <c r="U11" t="str">
        <f>IF(subscriptions[[#This Row],[feature_usage_pct]]&lt;30,"High Risk",IF(subscriptions[[#This Row],[feature_usage_pct]]&lt;60,"Medium Risk","Low Risk"))</f>
        <v>Medium Risk</v>
      </c>
      <c r="V11">
        <f ca="1">subscriptions[[#This Row],[CLV]]/200</f>
        <v>217.35775000000001</v>
      </c>
      <c r="X11" t="s">
        <v>707</v>
      </c>
    </row>
    <row r="12" spans="1:24" x14ac:dyDescent="0.25">
      <c r="A12" t="s">
        <v>54</v>
      </c>
      <c r="B12" t="s">
        <v>36</v>
      </c>
      <c r="C12" t="s">
        <v>28</v>
      </c>
      <c r="D12" t="s">
        <v>52</v>
      </c>
      <c r="E12" s="2" t="s">
        <v>45</v>
      </c>
      <c r="F12">
        <v>77</v>
      </c>
      <c r="G12">
        <v>2097.46</v>
      </c>
      <c r="H12" t="s">
        <v>22</v>
      </c>
      <c r="I12" t="s">
        <v>55</v>
      </c>
      <c r="J12" s="1">
        <v>44902</v>
      </c>
      <c r="K12" t="s">
        <v>24</v>
      </c>
      <c r="L12" s="1">
        <v>45091</v>
      </c>
      <c r="M12" t="s">
        <v>56</v>
      </c>
      <c r="N12">
        <v>9</v>
      </c>
      <c r="O12">
        <v>1</v>
      </c>
      <c r="P12">
        <v>37</v>
      </c>
      <c r="Q12" t="s">
        <v>26</v>
      </c>
      <c r="R12">
        <f>IF(subscriptions[[#This Row],[churned]]="Yes",1,0)</f>
        <v>1</v>
      </c>
      <c r="S12">
        <f ca="1">IF(subscriptions[[#This Row],[churn_flag]]=1, DATEDIF(subscriptions[[#This Row],[signup_date]],subscriptions[[#This Row],[churn_date]],"M"), DATEDIF(subscriptions[[#This Row],[signup_date]],TODAY(),"M"))</f>
        <v>6</v>
      </c>
      <c r="T12">
        <f ca="1">subscriptions[[#This Row],[monthly_revenue]]*subscriptions[[#This Row],[customer_lifetime]]</f>
        <v>12584.76</v>
      </c>
      <c r="U12" t="str">
        <f>IF(subscriptions[[#This Row],[feature_usage_pct]]&lt;30,"High Risk",IF(subscriptions[[#This Row],[feature_usage_pct]]&lt;60,"Medium Risk","Low Risk"))</f>
        <v>Medium Risk</v>
      </c>
      <c r="V12">
        <f ca="1">subscriptions[[#This Row],[CLV]]/200</f>
        <v>62.9238</v>
      </c>
      <c r="X12" t="str">
        <f ca="1">ROUND(X6/200,1) &amp;":1"</f>
        <v>80:1</v>
      </c>
    </row>
    <row r="13" spans="1:24" x14ac:dyDescent="0.25">
      <c r="A13" t="s">
        <v>57</v>
      </c>
      <c r="B13" t="s">
        <v>36</v>
      </c>
      <c r="C13" t="s">
        <v>28</v>
      </c>
      <c r="D13" t="s">
        <v>42</v>
      </c>
      <c r="E13" s="2" t="s">
        <v>663</v>
      </c>
      <c r="F13">
        <v>30</v>
      </c>
      <c r="G13">
        <v>904.95</v>
      </c>
      <c r="H13" t="s">
        <v>43</v>
      </c>
      <c r="I13" t="s">
        <v>23</v>
      </c>
      <c r="J13" s="1">
        <v>45247</v>
      </c>
      <c r="K13" t="s">
        <v>26</v>
      </c>
      <c r="N13">
        <v>4</v>
      </c>
      <c r="O13">
        <v>1</v>
      </c>
      <c r="P13">
        <v>47</v>
      </c>
      <c r="Q13" t="s">
        <v>24</v>
      </c>
      <c r="R13">
        <f>IF(subscriptions[[#This Row],[churned]]="Yes",1,0)</f>
        <v>0</v>
      </c>
      <c r="S13">
        <f ca="1">IF(subscriptions[[#This Row],[churn_flag]]=1, DATEDIF(subscriptions[[#This Row],[signup_date]],subscriptions[[#This Row],[churn_date]],"M"), DATEDIF(subscriptions[[#This Row],[signup_date]],TODAY(),"M"))</f>
        <v>29</v>
      </c>
      <c r="T13">
        <f ca="1">subscriptions[[#This Row],[monthly_revenue]]*subscriptions[[#This Row],[customer_lifetime]]</f>
        <v>26243.550000000003</v>
      </c>
      <c r="U13" t="str">
        <f>IF(subscriptions[[#This Row],[feature_usage_pct]]&lt;30,"High Risk",IF(subscriptions[[#This Row],[feature_usage_pct]]&lt;60,"Medium Risk","Low Risk"))</f>
        <v>Medium Risk</v>
      </c>
      <c r="V13">
        <f ca="1">subscriptions[[#This Row],[CLV]]/200</f>
        <v>131.21775000000002</v>
      </c>
    </row>
    <row r="14" spans="1:24" x14ac:dyDescent="0.25">
      <c r="A14" t="s">
        <v>58</v>
      </c>
      <c r="B14" t="s">
        <v>36</v>
      </c>
      <c r="C14" t="s">
        <v>19</v>
      </c>
      <c r="D14" t="s">
        <v>32</v>
      </c>
      <c r="E14" s="2" t="s">
        <v>664</v>
      </c>
      <c r="F14">
        <v>4</v>
      </c>
      <c r="G14">
        <v>288.55</v>
      </c>
      <c r="H14" t="s">
        <v>43</v>
      </c>
      <c r="I14" t="s">
        <v>38</v>
      </c>
      <c r="J14" s="1">
        <v>45475</v>
      </c>
      <c r="K14" t="s">
        <v>26</v>
      </c>
      <c r="N14">
        <v>10</v>
      </c>
      <c r="O14">
        <v>9</v>
      </c>
      <c r="P14">
        <v>84</v>
      </c>
      <c r="Q14" t="s">
        <v>24</v>
      </c>
      <c r="R14">
        <f>IF(subscriptions[[#This Row],[churned]]="Yes",1,0)</f>
        <v>0</v>
      </c>
      <c r="S14">
        <f ca="1">IF(subscriptions[[#This Row],[churn_flag]]=1, DATEDIF(subscriptions[[#This Row],[signup_date]],subscriptions[[#This Row],[churn_date]],"M"), DATEDIF(subscriptions[[#This Row],[signup_date]],TODAY(),"M"))</f>
        <v>22</v>
      </c>
      <c r="T14">
        <f ca="1">subscriptions[[#This Row],[monthly_revenue]]*subscriptions[[#This Row],[customer_lifetime]]</f>
        <v>6348.1</v>
      </c>
      <c r="U14" t="str">
        <f>IF(subscriptions[[#This Row],[feature_usage_pct]]&lt;30,"High Risk",IF(subscriptions[[#This Row],[feature_usage_pct]]&lt;60,"Medium Risk","Low Risk"))</f>
        <v>Low Risk</v>
      </c>
      <c r="V14">
        <f ca="1">subscriptions[[#This Row],[CLV]]/200</f>
        <v>31.740500000000001</v>
      </c>
    </row>
    <row r="15" spans="1:24" x14ac:dyDescent="0.25">
      <c r="A15" t="s">
        <v>59</v>
      </c>
      <c r="B15" t="s">
        <v>31</v>
      </c>
      <c r="C15" t="s">
        <v>19</v>
      </c>
      <c r="D15" t="s">
        <v>20</v>
      </c>
      <c r="E15" s="2" t="s">
        <v>21</v>
      </c>
      <c r="F15">
        <v>56</v>
      </c>
      <c r="G15">
        <v>268.25</v>
      </c>
      <c r="H15" t="s">
        <v>60</v>
      </c>
      <c r="I15" t="s">
        <v>38</v>
      </c>
      <c r="J15" s="1">
        <v>44710</v>
      </c>
      <c r="K15" t="s">
        <v>24</v>
      </c>
      <c r="L15" s="1">
        <v>44831</v>
      </c>
      <c r="M15" t="s">
        <v>46</v>
      </c>
      <c r="N15">
        <v>1</v>
      </c>
      <c r="O15">
        <v>2</v>
      </c>
      <c r="P15">
        <v>21</v>
      </c>
      <c r="Q15" t="s">
        <v>26</v>
      </c>
      <c r="R15">
        <f>IF(subscriptions[[#This Row],[churned]]="Yes",1,0)</f>
        <v>1</v>
      </c>
      <c r="S15">
        <f ca="1">IF(subscriptions[[#This Row],[churn_flag]]=1, DATEDIF(subscriptions[[#This Row],[signup_date]],subscriptions[[#This Row],[churn_date]],"M"), DATEDIF(subscriptions[[#This Row],[signup_date]],TODAY(),"M"))</f>
        <v>3</v>
      </c>
      <c r="T15">
        <f ca="1">subscriptions[[#This Row],[monthly_revenue]]*subscriptions[[#This Row],[customer_lifetime]]</f>
        <v>804.75</v>
      </c>
      <c r="U15" t="str">
        <f>IF(subscriptions[[#This Row],[feature_usage_pct]]&lt;30,"High Risk",IF(subscriptions[[#This Row],[feature_usage_pct]]&lt;60,"Medium Risk","Low Risk"))</f>
        <v>High Risk</v>
      </c>
      <c r="V15">
        <f ca="1">subscriptions[[#This Row],[CLV]]/200</f>
        <v>4.0237499999999997</v>
      </c>
    </row>
    <row r="16" spans="1:24" x14ac:dyDescent="0.25">
      <c r="A16" t="s">
        <v>61</v>
      </c>
      <c r="B16" t="s">
        <v>31</v>
      </c>
      <c r="C16" t="s">
        <v>19</v>
      </c>
      <c r="D16" t="s">
        <v>62</v>
      </c>
      <c r="E16" s="2" t="s">
        <v>664</v>
      </c>
      <c r="F16">
        <v>6</v>
      </c>
      <c r="G16">
        <v>50.75</v>
      </c>
      <c r="H16" t="s">
        <v>43</v>
      </c>
      <c r="I16" t="s">
        <v>23</v>
      </c>
      <c r="J16" s="1">
        <v>45308</v>
      </c>
      <c r="K16" t="s">
        <v>24</v>
      </c>
      <c r="L16" s="1">
        <v>45428</v>
      </c>
      <c r="M16" t="s">
        <v>63</v>
      </c>
      <c r="N16">
        <v>7</v>
      </c>
      <c r="O16">
        <v>3</v>
      </c>
      <c r="P16">
        <v>25</v>
      </c>
      <c r="Q16" t="s">
        <v>26</v>
      </c>
      <c r="R16">
        <f>IF(subscriptions[[#This Row],[churned]]="Yes",1,0)</f>
        <v>1</v>
      </c>
      <c r="S16">
        <f ca="1">IF(subscriptions[[#This Row],[churn_flag]]=1, DATEDIF(subscriptions[[#This Row],[signup_date]],subscriptions[[#This Row],[churn_date]],"M"), DATEDIF(subscriptions[[#This Row],[signup_date]],TODAY(),"M"))</f>
        <v>3</v>
      </c>
      <c r="T16">
        <f ca="1">subscriptions[[#This Row],[monthly_revenue]]*subscriptions[[#This Row],[customer_lifetime]]</f>
        <v>152.25</v>
      </c>
      <c r="U16" t="str">
        <f>IF(subscriptions[[#This Row],[feature_usage_pct]]&lt;30,"High Risk",IF(subscriptions[[#This Row],[feature_usage_pct]]&lt;60,"Medium Risk","Low Risk"))</f>
        <v>High Risk</v>
      </c>
      <c r="V16">
        <f ca="1">subscriptions[[#This Row],[CLV]]/200</f>
        <v>0.76124999999999998</v>
      </c>
    </row>
    <row r="17" spans="1:22" x14ac:dyDescent="0.25">
      <c r="A17" t="s">
        <v>64</v>
      </c>
      <c r="B17" t="s">
        <v>31</v>
      </c>
      <c r="C17" t="s">
        <v>19</v>
      </c>
      <c r="D17" t="s">
        <v>40</v>
      </c>
      <c r="E17" s="2" t="s">
        <v>45</v>
      </c>
      <c r="F17">
        <v>52</v>
      </c>
      <c r="G17">
        <v>250.85</v>
      </c>
      <c r="H17" t="s">
        <v>22</v>
      </c>
      <c r="I17" t="s">
        <v>23</v>
      </c>
      <c r="J17" s="1">
        <v>44713</v>
      </c>
      <c r="K17" t="s">
        <v>24</v>
      </c>
      <c r="L17" s="1">
        <v>44950</v>
      </c>
      <c r="M17" t="s">
        <v>53</v>
      </c>
      <c r="N17">
        <v>11</v>
      </c>
      <c r="O17">
        <v>4</v>
      </c>
      <c r="P17">
        <v>34</v>
      </c>
      <c r="Q17" t="s">
        <v>26</v>
      </c>
      <c r="R17">
        <f>IF(subscriptions[[#This Row],[churned]]="Yes",1,0)</f>
        <v>1</v>
      </c>
      <c r="S17">
        <f ca="1">IF(subscriptions[[#This Row],[churn_flag]]=1, DATEDIF(subscriptions[[#This Row],[signup_date]],subscriptions[[#This Row],[churn_date]],"M"), DATEDIF(subscriptions[[#This Row],[signup_date]],TODAY(),"M"))</f>
        <v>7</v>
      </c>
      <c r="T17">
        <f ca="1">subscriptions[[#This Row],[monthly_revenue]]*subscriptions[[#This Row],[customer_lifetime]]</f>
        <v>1755.95</v>
      </c>
      <c r="U17" t="str">
        <f>IF(subscriptions[[#This Row],[feature_usage_pct]]&lt;30,"High Risk",IF(subscriptions[[#This Row],[feature_usage_pct]]&lt;60,"Medium Risk","Low Risk"))</f>
        <v>Medium Risk</v>
      </c>
      <c r="V17">
        <f ca="1">subscriptions[[#This Row],[CLV]]/200</f>
        <v>8.7797499999999999</v>
      </c>
    </row>
    <row r="18" spans="1:22" x14ac:dyDescent="0.25">
      <c r="A18" t="s">
        <v>65</v>
      </c>
      <c r="B18" t="s">
        <v>36</v>
      </c>
      <c r="C18" t="s">
        <v>19</v>
      </c>
      <c r="D18" t="s">
        <v>62</v>
      </c>
      <c r="E18" s="2" t="s">
        <v>663</v>
      </c>
      <c r="F18">
        <v>34</v>
      </c>
      <c r="G18">
        <v>1184.05</v>
      </c>
      <c r="H18" t="s">
        <v>60</v>
      </c>
      <c r="I18" t="s">
        <v>23</v>
      </c>
      <c r="J18" s="1">
        <v>45649</v>
      </c>
      <c r="K18" t="s">
        <v>24</v>
      </c>
      <c r="L18" s="1">
        <v>45657</v>
      </c>
      <c r="M18" t="s">
        <v>63</v>
      </c>
      <c r="N18">
        <v>3</v>
      </c>
      <c r="O18">
        <v>3</v>
      </c>
      <c r="P18">
        <v>49</v>
      </c>
      <c r="Q18" t="s">
        <v>26</v>
      </c>
      <c r="R18">
        <f>IF(subscriptions[[#This Row],[churned]]="Yes",1,0)</f>
        <v>1</v>
      </c>
      <c r="S18">
        <f ca="1">IF(subscriptions[[#This Row],[churn_flag]]=1, DATEDIF(subscriptions[[#This Row],[signup_date]],subscriptions[[#This Row],[churn_date]],"M"), DATEDIF(subscriptions[[#This Row],[signup_date]],TODAY(),"M"))</f>
        <v>0</v>
      </c>
      <c r="T18">
        <f ca="1">subscriptions[[#This Row],[monthly_revenue]]*subscriptions[[#This Row],[customer_lifetime]]</f>
        <v>0</v>
      </c>
      <c r="U18" t="str">
        <f>IF(subscriptions[[#This Row],[feature_usage_pct]]&lt;30,"High Risk",IF(subscriptions[[#This Row],[feature_usage_pct]]&lt;60,"Medium Risk","Low Risk"))</f>
        <v>Medium Risk</v>
      </c>
      <c r="V18">
        <f ca="1">subscriptions[[#This Row],[CLV]]/200</f>
        <v>0</v>
      </c>
    </row>
    <row r="19" spans="1:22" x14ac:dyDescent="0.25">
      <c r="A19" t="s">
        <v>66</v>
      </c>
      <c r="B19" t="s">
        <v>31</v>
      </c>
      <c r="C19" t="s">
        <v>19</v>
      </c>
      <c r="D19" t="s">
        <v>49</v>
      </c>
      <c r="E19" s="2" t="s">
        <v>21</v>
      </c>
      <c r="F19">
        <v>64</v>
      </c>
      <c r="G19">
        <v>303.05</v>
      </c>
      <c r="H19" t="s">
        <v>43</v>
      </c>
      <c r="I19" t="s">
        <v>38</v>
      </c>
      <c r="J19" s="1">
        <v>45098</v>
      </c>
      <c r="K19" t="s">
        <v>24</v>
      </c>
      <c r="L19" s="1">
        <v>45143</v>
      </c>
      <c r="M19" t="s">
        <v>56</v>
      </c>
      <c r="N19">
        <v>14</v>
      </c>
      <c r="O19">
        <v>3</v>
      </c>
      <c r="P19">
        <v>25</v>
      </c>
      <c r="Q19" t="s">
        <v>26</v>
      </c>
      <c r="R19">
        <f>IF(subscriptions[[#This Row],[churned]]="Yes",1,0)</f>
        <v>1</v>
      </c>
      <c r="S19">
        <f ca="1">IF(subscriptions[[#This Row],[churn_flag]]=1, DATEDIF(subscriptions[[#This Row],[signup_date]],subscriptions[[#This Row],[churn_date]],"M"), DATEDIF(subscriptions[[#This Row],[signup_date]],TODAY(),"M"))</f>
        <v>1</v>
      </c>
      <c r="T19">
        <f ca="1">subscriptions[[#This Row],[monthly_revenue]]*subscriptions[[#This Row],[customer_lifetime]]</f>
        <v>303.05</v>
      </c>
      <c r="U19" t="str">
        <f>IF(subscriptions[[#This Row],[feature_usage_pct]]&lt;30,"High Risk",IF(subscriptions[[#This Row],[feature_usage_pct]]&lt;60,"Medium Risk","Low Risk"))</f>
        <v>High Risk</v>
      </c>
      <c r="V19">
        <f ca="1">subscriptions[[#This Row],[CLV]]/200</f>
        <v>1.51525</v>
      </c>
    </row>
    <row r="20" spans="1:22" x14ac:dyDescent="0.25">
      <c r="A20" t="s">
        <v>67</v>
      </c>
      <c r="B20" t="s">
        <v>18</v>
      </c>
      <c r="C20" t="s">
        <v>28</v>
      </c>
      <c r="D20" t="s">
        <v>68</v>
      </c>
      <c r="E20" s="2" t="s">
        <v>33</v>
      </c>
      <c r="F20">
        <v>67</v>
      </c>
      <c r="G20">
        <v>731.93</v>
      </c>
      <c r="H20" t="s">
        <v>34</v>
      </c>
      <c r="I20" t="s">
        <v>69</v>
      </c>
      <c r="J20" s="1">
        <v>45377</v>
      </c>
      <c r="K20" t="s">
        <v>24</v>
      </c>
      <c r="L20" s="1">
        <v>45770</v>
      </c>
      <c r="M20" t="s">
        <v>56</v>
      </c>
      <c r="N20">
        <v>10</v>
      </c>
      <c r="O20">
        <v>2</v>
      </c>
      <c r="P20">
        <v>10</v>
      </c>
      <c r="Q20" t="s">
        <v>26</v>
      </c>
      <c r="R20">
        <f>IF(subscriptions[[#This Row],[churned]]="Yes",1,0)</f>
        <v>1</v>
      </c>
      <c r="S20">
        <f ca="1">IF(subscriptions[[#This Row],[churn_flag]]=1, DATEDIF(subscriptions[[#This Row],[signup_date]],subscriptions[[#This Row],[churn_date]],"M"), DATEDIF(subscriptions[[#This Row],[signup_date]],TODAY(),"M"))</f>
        <v>12</v>
      </c>
      <c r="T20">
        <f ca="1">subscriptions[[#This Row],[monthly_revenue]]*subscriptions[[#This Row],[customer_lifetime]]</f>
        <v>8783.16</v>
      </c>
      <c r="U20" t="str">
        <f>IF(subscriptions[[#This Row],[feature_usage_pct]]&lt;30,"High Risk",IF(subscriptions[[#This Row],[feature_usage_pct]]&lt;60,"Medium Risk","Low Risk"))</f>
        <v>High Risk</v>
      </c>
      <c r="V20">
        <f ca="1">subscriptions[[#This Row],[CLV]]/200</f>
        <v>43.915799999999997</v>
      </c>
    </row>
    <row r="21" spans="1:22" x14ac:dyDescent="0.25">
      <c r="A21" t="s">
        <v>70</v>
      </c>
      <c r="B21" t="s">
        <v>71</v>
      </c>
      <c r="C21" t="s">
        <v>28</v>
      </c>
      <c r="D21" t="s">
        <v>62</v>
      </c>
      <c r="E21" s="2" t="s">
        <v>664</v>
      </c>
      <c r="F21">
        <v>7</v>
      </c>
      <c r="G21">
        <v>805.88</v>
      </c>
      <c r="H21" t="s">
        <v>22</v>
      </c>
      <c r="I21" t="s">
        <v>55</v>
      </c>
      <c r="J21" s="1">
        <v>45149</v>
      </c>
      <c r="K21" t="s">
        <v>26</v>
      </c>
      <c r="N21">
        <v>8</v>
      </c>
      <c r="O21">
        <v>4</v>
      </c>
      <c r="P21">
        <v>93</v>
      </c>
      <c r="Q21" t="s">
        <v>26</v>
      </c>
      <c r="R21">
        <f>IF(subscriptions[[#This Row],[churned]]="Yes",1,0)</f>
        <v>0</v>
      </c>
      <c r="S21">
        <f ca="1">IF(subscriptions[[#This Row],[churn_flag]]=1, DATEDIF(subscriptions[[#This Row],[signup_date]],subscriptions[[#This Row],[churn_date]],"M"), DATEDIF(subscriptions[[#This Row],[signup_date]],TODAY(),"M"))</f>
        <v>33</v>
      </c>
      <c r="T21">
        <f ca="1">subscriptions[[#This Row],[monthly_revenue]]*subscriptions[[#This Row],[customer_lifetime]]</f>
        <v>26594.04</v>
      </c>
      <c r="U21" t="str">
        <f>IF(subscriptions[[#This Row],[feature_usage_pct]]&lt;30,"High Risk",IF(subscriptions[[#This Row],[feature_usage_pct]]&lt;60,"Medium Risk","Low Risk"))</f>
        <v>Low Risk</v>
      </c>
      <c r="V21">
        <f ca="1">subscriptions[[#This Row],[CLV]]/200</f>
        <v>132.97020000000001</v>
      </c>
    </row>
    <row r="22" spans="1:22" x14ac:dyDescent="0.25">
      <c r="A22" t="s">
        <v>72</v>
      </c>
      <c r="B22" t="s">
        <v>18</v>
      </c>
      <c r="C22" t="s">
        <v>28</v>
      </c>
      <c r="D22" t="s">
        <v>20</v>
      </c>
      <c r="E22" s="2" t="s">
        <v>21</v>
      </c>
      <c r="F22">
        <v>66</v>
      </c>
      <c r="G22">
        <v>721.86</v>
      </c>
      <c r="H22" t="s">
        <v>34</v>
      </c>
      <c r="I22" t="s">
        <v>38</v>
      </c>
      <c r="J22" s="1">
        <v>45253</v>
      </c>
      <c r="K22" t="s">
        <v>24</v>
      </c>
      <c r="L22" s="1">
        <v>45430</v>
      </c>
      <c r="M22" t="s">
        <v>25</v>
      </c>
      <c r="N22">
        <v>7</v>
      </c>
      <c r="O22">
        <v>2</v>
      </c>
      <c r="P22">
        <v>19</v>
      </c>
      <c r="Q22" t="s">
        <v>26</v>
      </c>
      <c r="R22">
        <f>IF(subscriptions[[#This Row],[churned]]="Yes",1,0)</f>
        <v>1</v>
      </c>
      <c r="S22">
        <f ca="1">IF(subscriptions[[#This Row],[churn_flag]]=1, DATEDIF(subscriptions[[#This Row],[signup_date]],subscriptions[[#This Row],[churn_date]],"M"), DATEDIF(subscriptions[[#This Row],[signup_date]],TODAY(),"M"))</f>
        <v>5</v>
      </c>
      <c r="T22">
        <f ca="1">subscriptions[[#This Row],[monthly_revenue]]*subscriptions[[#This Row],[customer_lifetime]]</f>
        <v>3609.3</v>
      </c>
      <c r="U22" t="str">
        <f>IF(subscriptions[[#This Row],[feature_usage_pct]]&lt;30,"High Risk",IF(subscriptions[[#This Row],[feature_usage_pct]]&lt;60,"Medium Risk","Low Risk"))</f>
        <v>High Risk</v>
      </c>
      <c r="V22">
        <f ca="1">subscriptions[[#This Row],[CLV]]/200</f>
        <v>18.046500000000002</v>
      </c>
    </row>
    <row r="23" spans="1:22" x14ac:dyDescent="0.25">
      <c r="A23" t="s">
        <v>73</v>
      </c>
      <c r="B23" t="s">
        <v>36</v>
      </c>
      <c r="C23" t="s">
        <v>28</v>
      </c>
      <c r="D23" t="s">
        <v>62</v>
      </c>
      <c r="E23" s="2" t="s">
        <v>664</v>
      </c>
      <c r="F23">
        <v>6</v>
      </c>
      <c r="G23">
        <v>296.01</v>
      </c>
      <c r="H23" t="s">
        <v>43</v>
      </c>
      <c r="I23" t="s">
        <v>38</v>
      </c>
      <c r="J23" s="1">
        <v>44744</v>
      </c>
      <c r="K23" t="s">
        <v>26</v>
      </c>
      <c r="N23">
        <v>5</v>
      </c>
      <c r="O23">
        <v>7</v>
      </c>
      <c r="P23">
        <v>40</v>
      </c>
      <c r="Q23" t="s">
        <v>26</v>
      </c>
      <c r="R23">
        <f>IF(subscriptions[[#This Row],[churned]]="Yes",1,0)</f>
        <v>0</v>
      </c>
      <c r="S23">
        <f ca="1">IF(subscriptions[[#This Row],[churn_flag]]=1, DATEDIF(subscriptions[[#This Row],[signup_date]],subscriptions[[#This Row],[churn_date]],"M"), DATEDIF(subscriptions[[#This Row],[signup_date]],TODAY(),"M"))</f>
        <v>46</v>
      </c>
      <c r="T23">
        <f ca="1">subscriptions[[#This Row],[monthly_revenue]]*subscriptions[[#This Row],[customer_lifetime]]</f>
        <v>13616.46</v>
      </c>
      <c r="U23" t="str">
        <f>IF(subscriptions[[#This Row],[feature_usage_pct]]&lt;30,"High Risk",IF(subscriptions[[#This Row],[feature_usage_pct]]&lt;60,"Medium Risk","Low Risk"))</f>
        <v>Medium Risk</v>
      </c>
      <c r="V23">
        <f ca="1">subscriptions[[#This Row],[CLV]]/200</f>
        <v>68.082299999999989</v>
      </c>
    </row>
    <row r="24" spans="1:22" x14ac:dyDescent="0.25">
      <c r="A24" t="s">
        <v>74</v>
      </c>
      <c r="B24" t="s">
        <v>31</v>
      </c>
      <c r="C24" t="s">
        <v>19</v>
      </c>
      <c r="D24" t="s">
        <v>52</v>
      </c>
      <c r="E24" s="2" t="s">
        <v>663</v>
      </c>
      <c r="F24">
        <v>25</v>
      </c>
      <c r="G24">
        <v>133.4</v>
      </c>
      <c r="H24" t="s">
        <v>60</v>
      </c>
      <c r="I24" t="s">
        <v>38</v>
      </c>
      <c r="J24" s="1">
        <v>45339</v>
      </c>
      <c r="K24" t="s">
        <v>24</v>
      </c>
      <c r="L24" s="1">
        <v>45405</v>
      </c>
      <c r="M24" t="s">
        <v>56</v>
      </c>
      <c r="N24">
        <v>11</v>
      </c>
      <c r="O24">
        <v>1</v>
      </c>
      <c r="P24">
        <v>16</v>
      </c>
      <c r="Q24" t="s">
        <v>26</v>
      </c>
      <c r="R24">
        <f>IF(subscriptions[[#This Row],[churned]]="Yes",1,0)</f>
        <v>1</v>
      </c>
      <c r="S24">
        <f ca="1">IF(subscriptions[[#This Row],[churn_flag]]=1, DATEDIF(subscriptions[[#This Row],[signup_date]],subscriptions[[#This Row],[churn_date]],"M"), DATEDIF(subscriptions[[#This Row],[signup_date]],TODAY(),"M"))</f>
        <v>2</v>
      </c>
      <c r="T24">
        <f ca="1">subscriptions[[#This Row],[monthly_revenue]]*subscriptions[[#This Row],[customer_lifetime]]</f>
        <v>266.8</v>
      </c>
      <c r="U24" t="str">
        <f>IF(subscriptions[[#This Row],[feature_usage_pct]]&lt;30,"High Risk",IF(subscriptions[[#This Row],[feature_usage_pct]]&lt;60,"Medium Risk","Low Risk"))</f>
        <v>High Risk</v>
      </c>
      <c r="V24">
        <f ca="1">subscriptions[[#This Row],[CLV]]/200</f>
        <v>1.3340000000000001</v>
      </c>
    </row>
    <row r="25" spans="1:22" x14ac:dyDescent="0.25">
      <c r="A25" t="s">
        <v>75</v>
      </c>
      <c r="B25" t="s">
        <v>71</v>
      </c>
      <c r="C25" t="s">
        <v>28</v>
      </c>
      <c r="D25" t="s">
        <v>40</v>
      </c>
      <c r="E25" s="2" t="s">
        <v>663</v>
      </c>
      <c r="F25">
        <v>14</v>
      </c>
      <c r="G25">
        <v>1251.24</v>
      </c>
      <c r="H25" t="s">
        <v>43</v>
      </c>
      <c r="I25" t="s">
        <v>38</v>
      </c>
      <c r="J25" s="1">
        <v>45799</v>
      </c>
      <c r="K25" t="s">
        <v>26</v>
      </c>
      <c r="N25">
        <v>11</v>
      </c>
      <c r="O25">
        <v>1</v>
      </c>
      <c r="P25">
        <v>85</v>
      </c>
      <c r="Q25" t="s">
        <v>26</v>
      </c>
      <c r="R25">
        <f>IF(subscriptions[[#This Row],[churned]]="Yes",1,0)</f>
        <v>0</v>
      </c>
      <c r="S25">
        <f ca="1">IF(subscriptions[[#This Row],[churn_flag]]=1, DATEDIF(subscriptions[[#This Row],[signup_date]],subscriptions[[#This Row],[churn_date]],"M"), DATEDIF(subscriptions[[#This Row],[signup_date]],TODAY(),"M"))</f>
        <v>11</v>
      </c>
      <c r="T25">
        <f ca="1">subscriptions[[#This Row],[monthly_revenue]]*subscriptions[[#This Row],[customer_lifetime]]</f>
        <v>13763.64</v>
      </c>
      <c r="U25" t="str">
        <f>IF(subscriptions[[#This Row],[feature_usage_pct]]&lt;30,"High Risk",IF(subscriptions[[#This Row],[feature_usage_pct]]&lt;60,"Medium Risk","Low Risk"))</f>
        <v>Low Risk</v>
      </c>
      <c r="V25">
        <f ca="1">subscriptions[[#This Row],[CLV]]/200</f>
        <v>68.81819999999999</v>
      </c>
    </row>
    <row r="26" spans="1:22" x14ac:dyDescent="0.25">
      <c r="A26" t="s">
        <v>76</v>
      </c>
      <c r="B26" t="s">
        <v>31</v>
      </c>
      <c r="C26" t="s">
        <v>28</v>
      </c>
      <c r="D26" t="s">
        <v>20</v>
      </c>
      <c r="E26" s="2" t="s">
        <v>663</v>
      </c>
      <c r="F26">
        <v>7</v>
      </c>
      <c r="G26">
        <v>46.83</v>
      </c>
      <c r="H26" t="s">
        <v>43</v>
      </c>
      <c r="I26" t="s">
        <v>23</v>
      </c>
      <c r="J26" s="1">
        <v>45451</v>
      </c>
      <c r="K26" t="s">
        <v>26</v>
      </c>
      <c r="N26">
        <v>1</v>
      </c>
      <c r="O26">
        <v>1</v>
      </c>
      <c r="P26">
        <v>42</v>
      </c>
      <c r="Q26" t="s">
        <v>26</v>
      </c>
      <c r="R26">
        <f>IF(subscriptions[[#This Row],[churned]]="Yes",1,0)</f>
        <v>0</v>
      </c>
      <c r="S26">
        <f ca="1">IF(subscriptions[[#This Row],[churn_flag]]=1, DATEDIF(subscriptions[[#This Row],[signup_date]],subscriptions[[#This Row],[churn_date]],"M"), DATEDIF(subscriptions[[#This Row],[signup_date]],TODAY(),"M"))</f>
        <v>23</v>
      </c>
      <c r="T26">
        <f ca="1">subscriptions[[#This Row],[monthly_revenue]]*subscriptions[[#This Row],[customer_lifetime]]</f>
        <v>1077.0899999999999</v>
      </c>
      <c r="U26" t="str">
        <f>IF(subscriptions[[#This Row],[feature_usage_pct]]&lt;30,"High Risk",IF(subscriptions[[#This Row],[feature_usage_pct]]&lt;60,"Medium Risk","Low Risk"))</f>
        <v>Medium Risk</v>
      </c>
      <c r="V26">
        <f ca="1">subscriptions[[#This Row],[CLV]]/200</f>
        <v>5.3854499999999996</v>
      </c>
    </row>
    <row r="27" spans="1:22" x14ac:dyDescent="0.25">
      <c r="A27" t="s">
        <v>77</v>
      </c>
      <c r="B27" t="s">
        <v>71</v>
      </c>
      <c r="C27" t="s">
        <v>28</v>
      </c>
      <c r="D27" t="s">
        <v>49</v>
      </c>
      <c r="E27" s="2" t="s">
        <v>664</v>
      </c>
      <c r="F27">
        <v>4</v>
      </c>
      <c r="G27">
        <v>615.02</v>
      </c>
      <c r="H27" t="s">
        <v>43</v>
      </c>
      <c r="I27" t="s">
        <v>38</v>
      </c>
      <c r="J27" s="1">
        <v>45863</v>
      </c>
      <c r="K27" t="s">
        <v>26</v>
      </c>
      <c r="N27">
        <v>2</v>
      </c>
      <c r="O27">
        <v>9</v>
      </c>
      <c r="P27">
        <v>73</v>
      </c>
      <c r="Q27" t="s">
        <v>26</v>
      </c>
      <c r="R27">
        <f>IF(subscriptions[[#This Row],[churned]]="Yes",1,0)</f>
        <v>0</v>
      </c>
      <c r="S27">
        <f ca="1">IF(subscriptions[[#This Row],[churn_flag]]=1, DATEDIF(subscriptions[[#This Row],[signup_date]],subscriptions[[#This Row],[churn_date]],"M"), DATEDIF(subscriptions[[#This Row],[signup_date]],TODAY(),"M"))</f>
        <v>9</v>
      </c>
      <c r="T27">
        <f ca="1">subscriptions[[#This Row],[monthly_revenue]]*subscriptions[[#This Row],[customer_lifetime]]</f>
        <v>5535.18</v>
      </c>
      <c r="U27" t="str">
        <f>IF(subscriptions[[#This Row],[feature_usage_pct]]&lt;30,"High Risk",IF(subscriptions[[#This Row],[feature_usage_pct]]&lt;60,"Medium Risk","Low Risk"))</f>
        <v>Low Risk</v>
      </c>
      <c r="V27">
        <f ca="1">subscriptions[[#This Row],[CLV]]/200</f>
        <v>27.675900000000002</v>
      </c>
    </row>
    <row r="28" spans="1:22" x14ac:dyDescent="0.25">
      <c r="A28" t="s">
        <v>78</v>
      </c>
      <c r="B28" t="s">
        <v>31</v>
      </c>
      <c r="C28" t="s">
        <v>19</v>
      </c>
      <c r="D28" t="s">
        <v>79</v>
      </c>
      <c r="E28" s="2" t="s">
        <v>664</v>
      </c>
      <c r="F28">
        <v>1</v>
      </c>
      <c r="G28">
        <v>29</v>
      </c>
      <c r="H28" t="s">
        <v>34</v>
      </c>
      <c r="I28" t="s">
        <v>55</v>
      </c>
      <c r="J28" s="1">
        <v>45179</v>
      </c>
      <c r="K28" t="s">
        <v>24</v>
      </c>
      <c r="L28" s="1">
        <v>45771</v>
      </c>
      <c r="M28" t="s">
        <v>46</v>
      </c>
      <c r="N28">
        <v>8</v>
      </c>
      <c r="O28">
        <v>3</v>
      </c>
      <c r="P28">
        <v>10</v>
      </c>
      <c r="Q28" t="s">
        <v>26</v>
      </c>
      <c r="R28">
        <f>IF(subscriptions[[#This Row],[churned]]="Yes",1,0)</f>
        <v>1</v>
      </c>
      <c r="S28">
        <f ca="1">IF(subscriptions[[#This Row],[churn_flag]]=1, DATEDIF(subscriptions[[#This Row],[signup_date]],subscriptions[[#This Row],[churn_date]],"M"), DATEDIF(subscriptions[[#This Row],[signup_date]],TODAY(),"M"))</f>
        <v>19</v>
      </c>
      <c r="T28">
        <f ca="1">subscriptions[[#This Row],[monthly_revenue]]*subscriptions[[#This Row],[customer_lifetime]]</f>
        <v>551</v>
      </c>
      <c r="U28" t="str">
        <f>IF(subscriptions[[#This Row],[feature_usage_pct]]&lt;30,"High Risk",IF(subscriptions[[#This Row],[feature_usage_pct]]&lt;60,"Medium Risk","Low Risk"))</f>
        <v>High Risk</v>
      </c>
      <c r="V28">
        <f ca="1">subscriptions[[#This Row],[CLV]]/200</f>
        <v>2.7549999999999999</v>
      </c>
    </row>
    <row r="29" spans="1:22" x14ac:dyDescent="0.25">
      <c r="A29" t="s">
        <v>80</v>
      </c>
      <c r="B29" t="s">
        <v>18</v>
      </c>
      <c r="C29" t="s">
        <v>28</v>
      </c>
      <c r="D29" t="s">
        <v>42</v>
      </c>
      <c r="E29" s="2" t="s">
        <v>21</v>
      </c>
      <c r="F29">
        <v>35</v>
      </c>
      <c r="G29">
        <v>409.62</v>
      </c>
      <c r="H29" t="s">
        <v>22</v>
      </c>
      <c r="I29" t="s">
        <v>69</v>
      </c>
      <c r="J29" s="1">
        <v>46020</v>
      </c>
      <c r="K29" t="s">
        <v>26</v>
      </c>
      <c r="N29">
        <v>8</v>
      </c>
      <c r="O29">
        <v>4</v>
      </c>
      <c r="P29">
        <v>53</v>
      </c>
      <c r="Q29" t="s">
        <v>26</v>
      </c>
      <c r="R29">
        <f>IF(subscriptions[[#This Row],[churned]]="Yes",1,0)</f>
        <v>0</v>
      </c>
      <c r="S29">
        <f ca="1">IF(subscriptions[[#This Row],[churn_flag]]=1, DATEDIF(subscriptions[[#This Row],[signup_date]],subscriptions[[#This Row],[churn_date]],"M"), DATEDIF(subscriptions[[#This Row],[signup_date]],TODAY(),"M"))</f>
        <v>4</v>
      </c>
      <c r="T29">
        <f ca="1">subscriptions[[#This Row],[monthly_revenue]]*subscriptions[[#This Row],[customer_lifetime]]</f>
        <v>1638.48</v>
      </c>
      <c r="U29" t="str">
        <f>IF(subscriptions[[#This Row],[feature_usage_pct]]&lt;30,"High Risk",IF(subscriptions[[#This Row],[feature_usage_pct]]&lt;60,"Medium Risk","Low Risk"))</f>
        <v>Medium Risk</v>
      </c>
      <c r="V29">
        <f ca="1">subscriptions[[#This Row],[CLV]]/200</f>
        <v>8.1923999999999992</v>
      </c>
    </row>
    <row r="30" spans="1:22" x14ac:dyDescent="0.25">
      <c r="A30" t="s">
        <v>81</v>
      </c>
      <c r="B30" t="s">
        <v>31</v>
      </c>
      <c r="C30" t="s">
        <v>19</v>
      </c>
      <c r="D30" t="s">
        <v>37</v>
      </c>
      <c r="E30" s="2" t="s">
        <v>663</v>
      </c>
      <c r="F30">
        <v>22</v>
      </c>
      <c r="G30">
        <v>120.35</v>
      </c>
      <c r="H30" t="s">
        <v>22</v>
      </c>
      <c r="I30" t="s">
        <v>23</v>
      </c>
      <c r="J30" s="1">
        <v>44901</v>
      </c>
      <c r="K30" t="s">
        <v>24</v>
      </c>
      <c r="L30" s="1">
        <v>45153</v>
      </c>
      <c r="M30" t="s">
        <v>82</v>
      </c>
      <c r="N30">
        <v>4</v>
      </c>
      <c r="O30">
        <v>2</v>
      </c>
      <c r="P30">
        <v>17</v>
      </c>
      <c r="Q30" t="s">
        <v>26</v>
      </c>
      <c r="R30">
        <f>IF(subscriptions[[#This Row],[churned]]="Yes",1,0)</f>
        <v>1</v>
      </c>
      <c r="S30">
        <f ca="1">IF(subscriptions[[#This Row],[churn_flag]]=1, DATEDIF(subscriptions[[#This Row],[signup_date]],subscriptions[[#This Row],[churn_date]],"M"), DATEDIF(subscriptions[[#This Row],[signup_date]],TODAY(),"M"))</f>
        <v>8</v>
      </c>
      <c r="T30">
        <f ca="1">subscriptions[[#This Row],[monthly_revenue]]*subscriptions[[#This Row],[customer_lifetime]]</f>
        <v>962.8</v>
      </c>
      <c r="U30" t="str">
        <f>IF(subscriptions[[#This Row],[feature_usage_pct]]&lt;30,"High Risk",IF(subscriptions[[#This Row],[feature_usage_pct]]&lt;60,"Medium Risk","Low Risk"))</f>
        <v>High Risk</v>
      </c>
      <c r="V30">
        <f ca="1">subscriptions[[#This Row],[CLV]]/200</f>
        <v>4.8140000000000001</v>
      </c>
    </row>
    <row r="31" spans="1:22" x14ac:dyDescent="0.25">
      <c r="A31" t="s">
        <v>83</v>
      </c>
      <c r="B31" t="s">
        <v>36</v>
      </c>
      <c r="C31" t="s">
        <v>28</v>
      </c>
      <c r="D31" t="s">
        <v>37</v>
      </c>
      <c r="E31" s="2" t="s">
        <v>33</v>
      </c>
      <c r="F31">
        <v>230</v>
      </c>
      <c r="G31">
        <v>5979.45</v>
      </c>
      <c r="H31" t="s">
        <v>34</v>
      </c>
      <c r="I31" t="s">
        <v>38</v>
      </c>
      <c r="J31" s="1">
        <v>45234</v>
      </c>
      <c r="K31" t="s">
        <v>26</v>
      </c>
      <c r="N31">
        <v>9</v>
      </c>
      <c r="O31">
        <v>3</v>
      </c>
      <c r="P31">
        <v>76</v>
      </c>
      <c r="Q31" t="s">
        <v>26</v>
      </c>
      <c r="R31">
        <f>IF(subscriptions[[#This Row],[churned]]="Yes",1,0)</f>
        <v>0</v>
      </c>
      <c r="S31">
        <f ca="1">IF(subscriptions[[#This Row],[churn_flag]]=1, DATEDIF(subscriptions[[#This Row],[signup_date]],subscriptions[[#This Row],[churn_date]],"M"), DATEDIF(subscriptions[[#This Row],[signup_date]],TODAY(),"M"))</f>
        <v>30</v>
      </c>
      <c r="T31">
        <f ca="1">subscriptions[[#This Row],[monthly_revenue]]*subscriptions[[#This Row],[customer_lifetime]]</f>
        <v>179383.5</v>
      </c>
      <c r="U31" t="str">
        <f>IF(subscriptions[[#This Row],[feature_usage_pct]]&lt;30,"High Risk",IF(subscriptions[[#This Row],[feature_usage_pct]]&lt;60,"Medium Risk","Low Risk"))</f>
        <v>Low Risk</v>
      </c>
      <c r="V31">
        <f ca="1">subscriptions[[#This Row],[CLV]]/200</f>
        <v>896.91750000000002</v>
      </c>
    </row>
    <row r="32" spans="1:22" x14ac:dyDescent="0.25">
      <c r="A32" t="s">
        <v>84</v>
      </c>
      <c r="B32" t="s">
        <v>36</v>
      </c>
      <c r="C32" t="s">
        <v>28</v>
      </c>
      <c r="D32" t="s">
        <v>32</v>
      </c>
      <c r="E32" s="2" t="s">
        <v>33</v>
      </c>
      <c r="F32">
        <v>174</v>
      </c>
      <c r="G32">
        <v>4558.59</v>
      </c>
      <c r="H32" t="s">
        <v>29</v>
      </c>
      <c r="I32" t="s">
        <v>38</v>
      </c>
      <c r="J32" s="1">
        <v>45493</v>
      </c>
      <c r="K32" t="s">
        <v>26</v>
      </c>
      <c r="N32">
        <v>8</v>
      </c>
      <c r="O32">
        <v>7</v>
      </c>
      <c r="P32">
        <v>84</v>
      </c>
      <c r="Q32" t="s">
        <v>26</v>
      </c>
      <c r="R32">
        <f>IF(subscriptions[[#This Row],[churned]]="Yes",1,0)</f>
        <v>0</v>
      </c>
      <c r="S32">
        <f ca="1">IF(subscriptions[[#This Row],[churn_flag]]=1, DATEDIF(subscriptions[[#This Row],[signup_date]],subscriptions[[#This Row],[churn_date]],"M"), DATEDIF(subscriptions[[#This Row],[signup_date]],TODAY(),"M"))</f>
        <v>21</v>
      </c>
      <c r="T32">
        <f ca="1">subscriptions[[#This Row],[monthly_revenue]]*subscriptions[[#This Row],[customer_lifetime]]</f>
        <v>95730.39</v>
      </c>
      <c r="U32" t="str">
        <f>IF(subscriptions[[#This Row],[feature_usage_pct]]&lt;30,"High Risk",IF(subscriptions[[#This Row],[feature_usage_pct]]&lt;60,"Medium Risk","Low Risk"))</f>
        <v>Low Risk</v>
      </c>
      <c r="V32">
        <f ca="1">subscriptions[[#This Row],[CLV]]/200</f>
        <v>478.65195</v>
      </c>
    </row>
    <row r="33" spans="1:22" x14ac:dyDescent="0.25">
      <c r="A33" t="s">
        <v>85</v>
      </c>
      <c r="B33" t="s">
        <v>71</v>
      </c>
      <c r="C33" t="s">
        <v>28</v>
      </c>
      <c r="D33" t="s">
        <v>42</v>
      </c>
      <c r="E33" s="2" t="s">
        <v>664</v>
      </c>
      <c r="F33">
        <v>5</v>
      </c>
      <c r="G33">
        <v>678.64</v>
      </c>
      <c r="H33" t="s">
        <v>43</v>
      </c>
      <c r="I33" t="s">
        <v>23</v>
      </c>
      <c r="J33" s="1">
        <v>45013</v>
      </c>
      <c r="K33" t="s">
        <v>26</v>
      </c>
      <c r="N33">
        <v>7</v>
      </c>
      <c r="O33">
        <v>8</v>
      </c>
      <c r="P33">
        <v>16</v>
      </c>
      <c r="Q33" t="s">
        <v>26</v>
      </c>
      <c r="R33">
        <f>IF(subscriptions[[#This Row],[churned]]="Yes",1,0)</f>
        <v>0</v>
      </c>
      <c r="S33">
        <f ca="1">IF(subscriptions[[#This Row],[churn_flag]]=1, DATEDIF(subscriptions[[#This Row],[signup_date]],subscriptions[[#This Row],[churn_date]],"M"), DATEDIF(subscriptions[[#This Row],[signup_date]],TODAY(),"M"))</f>
        <v>37</v>
      </c>
      <c r="T33">
        <f ca="1">subscriptions[[#This Row],[monthly_revenue]]*subscriptions[[#This Row],[customer_lifetime]]</f>
        <v>25109.68</v>
      </c>
      <c r="U33" t="str">
        <f>IF(subscriptions[[#This Row],[feature_usage_pct]]&lt;30,"High Risk",IF(subscriptions[[#This Row],[feature_usage_pct]]&lt;60,"Medium Risk","Low Risk"))</f>
        <v>High Risk</v>
      </c>
      <c r="V33">
        <f ca="1">subscriptions[[#This Row],[CLV]]/200</f>
        <v>125.5484</v>
      </c>
    </row>
    <row r="34" spans="1:22" x14ac:dyDescent="0.25">
      <c r="A34" t="s">
        <v>86</v>
      </c>
      <c r="B34" t="s">
        <v>31</v>
      </c>
      <c r="C34" t="s">
        <v>28</v>
      </c>
      <c r="D34" t="s">
        <v>79</v>
      </c>
      <c r="E34" s="2" t="s">
        <v>664</v>
      </c>
      <c r="F34">
        <v>6</v>
      </c>
      <c r="G34">
        <v>43.14</v>
      </c>
      <c r="H34" t="s">
        <v>22</v>
      </c>
      <c r="I34" t="s">
        <v>69</v>
      </c>
      <c r="J34" s="1">
        <v>45431</v>
      </c>
      <c r="K34" t="s">
        <v>24</v>
      </c>
      <c r="L34" s="1">
        <v>45502</v>
      </c>
      <c r="M34" t="s">
        <v>63</v>
      </c>
      <c r="N34">
        <v>11</v>
      </c>
      <c r="O34">
        <v>3</v>
      </c>
      <c r="P34">
        <v>30</v>
      </c>
      <c r="Q34" t="s">
        <v>26</v>
      </c>
      <c r="R34">
        <f>IF(subscriptions[[#This Row],[churned]]="Yes",1,0)</f>
        <v>1</v>
      </c>
      <c r="S34">
        <f ca="1">IF(subscriptions[[#This Row],[churn_flag]]=1, DATEDIF(subscriptions[[#This Row],[signup_date]],subscriptions[[#This Row],[churn_date]],"M"), DATEDIF(subscriptions[[#This Row],[signup_date]],TODAY(),"M"))</f>
        <v>2</v>
      </c>
      <c r="T34">
        <f ca="1">subscriptions[[#This Row],[monthly_revenue]]*subscriptions[[#This Row],[customer_lifetime]]</f>
        <v>86.28</v>
      </c>
      <c r="U34" t="str">
        <f>IF(subscriptions[[#This Row],[feature_usage_pct]]&lt;30,"High Risk",IF(subscriptions[[#This Row],[feature_usage_pct]]&lt;60,"Medium Risk","Low Risk"))</f>
        <v>Medium Risk</v>
      </c>
      <c r="V34">
        <f ca="1">subscriptions[[#This Row],[CLV]]/200</f>
        <v>0.43140000000000001</v>
      </c>
    </row>
    <row r="35" spans="1:22" x14ac:dyDescent="0.25">
      <c r="A35" t="s">
        <v>87</v>
      </c>
      <c r="B35" t="s">
        <v>71</v>
      </c>
      <c r="C35" t="s">
        <v>28</v>
      </c>
      <c r="D35" t="s">
        <v>62</v>
      </c>
      <c r="E35" s="2" t="s">
        <v>663</v>
      </c>
      <c r="F35">
        <v>35</v>
      </c>
      <c r="G35">
        <v>2587.3200000000002</v>
      </c>
      <c r="H35" t="s">
        <v>43</v>
      </c>
      <c r="I35" t="s">
        <v>23</v>
      </c>
      <c r="J35" s="1">
        <v>45194</v>
      </c>
      <c r="K35" t="s">
        <v>26</v>
      </c>
      <c r="N35">
        <v>5</v>
      </c>
      <c r="O35">
        <v>8</v>
      </c>
      <c r="P35">
        <v>33</v>
      </c>
      <c r="Q35" t="s">
        <v>24</v>
      </c>
      <c r="R35">
        <f>IF(subscriptions[[#This Row],[churned]]="Yes",1,0)</f>
        <v>0</v>
      </c>
      <c r="S35">
        <f ca="1">IF(subscriptions[[#This Row],[churn_flag]]=1, DATEDIF(subscriptions[[#This Row],[signup_date]],subscriptions[[#This Row],[churn_date]],"M"), DATEDIF(subscriptions[[#This Row],[signup_date]],TODAY(),"M"))</f>
        <v>31</v>
      </c>
      <c r="T35">
        <f ca="1">subscriptions[[#This Row],[monthly_revenue]]*subscriptions[[#This Row],[customer_lifetime]]</f>
        <v>80206.92</v>
      </c>
      <c r="U35" t="str">
        <f>IF(subscriptions[[#This Row],[feature_usage_pct]]&lt;30,"High Risk",IF(subscriptions[[#This Row],[feature_usage_pct]]&lt;60,"Medium Risk","Low Risk"))</f>
        <v>Medium Risk</v>
      </c>
      <c r="V35">
        <f ca="1">subscriptions[[#This Row],[CLV]]/200</f>
        <v>401.03460000000001</v>
      </c>
    </row>
    <row r="36" spans="1:22" x14ac:dyDescent="0.25">
      <c r="A36" t="s">
        <v>88</v>
      </c>
      <c r="B36" t="s">
        <v>31</v>
      </c>
      <c r="C36" t="s">
        <v>19</v>
      </c>
      <c r="D36" t="s">
        <v>40</v>
      </c>
      <c r="E36" s="2" t="s">
        <v>21</v>
      </c>
      <c r="F36">
        <v>70</v>
      </c>
      <c r="G36">
        <v>329.15</v>
      </c>
      <c r="H36" t="s">
        <v>22</v>
      </c>
      <c r="I36" t="s">
        <v>69</v>
      </c>
      <c r="J36" s="1">
        <v>44689</v>
      </c>
      <c r="K36" t="s">
        <v>24</v>
      </c>
      <c r="L36" s="1">
        <v>44766</v>
      </c>
      <c r="M36" t="s">
        <v>50</v>
      </c>
      <c r="N36">
        <v>0</v>
      </c>
      <c r="O36">
        <v>6</v>
      </c>
      <c r="P36">
        <v>30</v>
      </c>
      <c r="Q36" t="s">
        <v>26</v>
      </c>
      <c r="R36">
        <f>IF(subscriptions[[#This Row],[churned]]="Yes",1,0)</f>
        <v>1</v>
      </c>
      <c r="S36">
        <f ca="1">IF(subscriptions[[#This Row],[churn_flag]]=1, DATEDIF(subscriptions[[#This Row],[signup_date]],subscriptions[[#This Row],[churn_date]],"M"), DATEDIF(subscriptions[[#This Row],[signup_date]],TODAY(),"M"))</f>
        <v>2</v>
      </c>
      <c r="T36">
        <f ca="1">subscriptions[[#This Row],[monthly_revenue]]*subscriptions[[#This Row],[customer_lifetime]]</f>
        <v>658.3</v>
      </c>
      <c r="U36" t="str">
        <f>IF(subscriptions[[#This Row],[feature_usage_pct]]&lt;30,"High Risk",IF(subscriptions[[#This Row],[feature_usage_pct]]&lt;60,"Medium Risk","Low Risk"))</f>
        <v>Medium Risk</v>
      </c>
      <c r="V36">
        <f ca="1">subscriptions[[#This Row],[CLV]]/200</f>
        <v>3.2914999999999996</v>
      </c>
    </row>
    <row r="37" spans="1:22" x14ac:dyDescent="0.25">
      <c r="A37" t="s">
        <v>89</v>
      </c>
      <c r="B37" t="s">
        <v>18</v>
      </c>
      <c r="C37" t="s">
        <v>19</v>
      </c>
      <c r="D37" t="s">
        <v>40</v>
      </c>
      <c r="E37" s="2" t="s">
        <v>664</v>
      </c>
      <c r="F37">
        <v>7</v>
      </c>
      <c r="G37">
        <v>150.1</v>
      </c>
      <c r="H37" t="s">
        <v>43</v>
      </c>
      <c r="I37" t="s">
        <v>69</v>
      </c>
      <c r="J37" s="1">
        <v>45038</v>
      </c>
      <c r="K37" t="s">
        <v>24</v>
      </c>
      <c r="L37" s="1">
        <v>45284</v>
      </c>
      <c r="M37" t="s">
        <v>56</v>
      </c>
      <c r="N37">
        <v>10</v>
      </c>
      <c r="O37">
        <v>6</v>
      </c>
      <c r="P37">
        <v>16</v>
      </c>
      <c r="Q37" t="s">
        <v>26</v>
      </c>
      <c r="R37">
        <f>IF(subscriptions[[#This Row],[churned]]="Yes",1,0)</f>
        <v>1</v>
      </c>
      <c r="S37">
        <f ca="1">IF(subscriptions[[#This Row],[churn_flag]]=1, DATEDIF(subscriptions[[#This Row],[signup_date]],subscriptions[[#This Row],[churn_date]],"M"), DATEDIF(subscriptions[[#This Row],[signup_date]],TODAY(),"M"))</f>
        <v>8</v>
      </c>
      <c r="T37">
        <f ca="1">subscriptions[[#This Row],[monthly_revenue]]*subscriptions[[#This Row],[customer_lifetime]]</f>
        <v>1200.8</v>
      </c>
      <c r="U37" t="str">
        <f>IF(subscriptions[[#This Row],[feature_usage_pct]]&lt;30,"High Risk",IF(subscriptions[[#This Row],[feature_usage_pct]]&lt;60,"Medium Risk","Low Risk"))</f>
        <v>High Risk</v>
      </c>
      <c r="V37">
        <f ca="1">subscriptions[[#This Row],[CLV]]/200</f>
        <v>6.0039999999999996</v>
      </c>
    </row>
    <row r="38" spans="1:22" x14ac:dyDescent="0.25">
      <c r="A38" t="s">
        <v>90</v>
      </c>
      <c r="B38" t="s">
        <v>18</v>
      </c>
      <c r="C38" t="s">
        <v>19</v>
      </c>
      <c r="D38" t="s">
        <v>42</v>
      </c>
      <c r="E38" s="2" t="s">
        <v>664</v>
      </c>
      <c r="F38">
        <v>2</v>
      </c>
      <c r="G38">
        <v>90.85</v>
      </c>
      <c r="H38" t="s">
        <v>29</v>
      </c>
      <c r="I38" t="s">
        <v>23</v>
      </c>
      <c r="J38" s="1">
        <v>45457</v>
      </c>
      <c r="K38" t="s">
        <v>24</v>
      </c>
      <c r="L38" s="1">
        <v>45604</v>
      </c>
      <c r="M38" t="s">
        <v>63</v>
      </c>
      <c r="N38">
        <v>11</v>
      </c>
      <c r="O38">
        <v>2</v>
      </c>
      <c r="P38">
        <v>34</v>
      </c>
      <c r="Q38" t="s">
        <v>26</v>
      </c>
      <c r="R38">
        <f>IF(subscriptions[[#This Row],[churned]]="Yes",1,0)</f>
        <v>1</v>
      </c>
      <c r="S38">
        <f ca="1">IF(subscriptions[[#This Row],[churn_flag]]=1, DATEDIF(subscriptions[[#This Row],[signup_date]],subscriptions[[#This Row],[churn_date]],"M"), DATEDIF(subscriptions[[#This Row],[signup_date]],TODAY(),"M"))</f>
        <v>4</v>
      </c>
      <c r="T38">
        <f ca="1">subscriptions[[#This Row],[monthly_revenue]]*subscriptions[[#This Row],[customer_lifetime]]</f>
        <v>363.4</v>
      </c>
      <c r="U38" t="str">
        <f>IF(subscriptions[[#This Row],[feature_usage_pct]]&lt;30,"High Risk",IF(subscriptions[[#This Row],[feature_usage_pct]]&lt;60,"Medium Risk","Low Risk"))</f>
        <v>Medium Risk</v>
      </c>
      <c r="V38">
        <f ca="1">subscriptions[[#This Row],[CLV]]/200</f>
        <v>1.8169999999999999</v>
      </c>
    </row>
    <row r="39" spans="1:22" x14ac:dyDescent="0.25">
      <c r="A39" t="s">
        <v>91</v>
      </c>
      <c r="B39" t="s">
        <v>18</v>
      </c>
      <c r="C39" t="s">
        <v>19</v>
      </c>
      <c r="D39" t="s">
        <v>37</v>
      </c>
      <c r="E39" s="2" t="s">
        <v>664</v>
      </c>
      <c r="F39">
        <v>5</v>
      </c>
      <c r="G39">
        <v>126.4</v>
      </c>
      <c r="H39" t="s">
        <v>22</v>
      </c>
      <c r="I39" t="s">
        <v>38</v>
      </c>
      <c r="J39" s="1">
        <v>44718</v>
      </c>
      <c r="K39" t="s">
        <v>24</v>
      </c>
      <c r="L39" s="1">
        <v>44784</v>
      </c>
      <c r="M39" t="s">
        <v>53</v>
      </c>
      <c r="N39">
        <v>6</v>
      </c>
      <c r="O39">
        <v>1</v>
      </c>
      <c r="P39">
        <v>30</v>
      </c>
      <c r="Q39" t="s">
        <v>26</v>
      </c>
      <c r="R39">
        <f>IF(subscriptions[[#This Row],[churned]]="Yes",1,0)</f>
        <v>1</v>
      </c>
      <c r="S39">
        <f ca="1">IF(subscriptions[[#This Row],[churn_flag]]=1, DATEDIF(subscriptions[[#This Row],[signup_date]],subscriptions[[#This Row],[churn_date]],"M"), DATEDIF(subscriptions[[#This Row],[signup_date]],TODAY(),"M"))</f>
        <v>2</v>
      </c>
      <c r="T39">
        <f ca="1">subscriptions[[#This Row],[monthly_revenue]]*subscriptions[[#This Row],[customer_lifetime]]</f>
        <v>252.8</v>
      </c>
      <c r="U39" t="str">
        <f>IF(subscriptions[[#This Row],[feature_usage_pct]]&lt;30,"High Risk",IF(subscriptions[[#This Row],[feature_usage_pct]]&lt;60,"Medium Risk","Low Risk"))</f>
        <v>Medium Risk</v>
      </c>
      <c r="V39">
        <f ca="1">subscriptions[[#This Row],[CLV]]/200</f>
        <v>1.264</v>
      </c>
    </row>
    <row r="40" spans="1:22" x14ac:dyDescent="0.25">
      <c r="A40" t="s">
        <v>92</v>
      </c>
      <c r="B40" t="s">
        <v>36</v>
      </c>
      <c r="C40" t="s">
        <v>28</v>
      </c>
      <c r="D40" t="s">
        <v>20</v>
      </c>
      <c r="E40" s="2" t="s">
        <v>21</v>
      </c>
      <c r="F40">
        <v>30</v>
      </c>
      <c r="G40">
        <v>904.95</v>
      </c>
      <c r="H40" t="s">
        <v>22</v>
      </c>
      <c r="I40" t="s">
        <v>55</v>
      </c>
      <c r="J40" s="1">
        <v>45414</v>
      </c>
      <c r="K40" t="s">
        <v>26</v>
      </c>
      <c r="N40">
        <v>4</v>
      </c>
      <c r="O40">
        <v>9</v>
      </c>
      <c r="P40">
        <v>71</v>
      </c>
      <c r="Q40" t="s">
        <v>24</v>
      </c>
      <c r="R40">
        <f>IF(subscriptions[[#This Row],[churned]]="Yes",1,0)</f>
        <v>0</v>
      </c>
      <c r="S40">
        <f ca="1">IF(subscriptions[[#This Row],[churn_flag]]=1, DATEDIF(subscriptions[[#This Row],[signup_date]],subscriptions[[#This Row],[churn_date]],"M"), DATEDIF(subscriptions[[#This Row],[signup_date]],TODAY(),"M"))</f>
        <v>24</v>
      </c>
      <c r="T40">
        <f ca="1">subscriptions[[#This Row],[monthly_revenue]]*subscriptions[[#This Row],[customer_lifetime]]</f>
        <v>21718.800000000003</v>
      </c>
      <c r="U40" t="str">
        <f>IF(subscriptions[[#This Row],[feature_usage_pct]]&lt;30,"High Risk",IF(subscriptions[[#This Row],[feature_usage_pct]]&lt;60,"Medium Risk","Low Risk"))</f>
        <v>Low Risk</v>
      </c>
      <c r="V40">
        <f ca="1">subscriptions[[#This Row],[CLV]]/200</f>
        <v>108.59400000000001</v>
      </c>
    </row>
    <row r="41" spans="1:22" x14ac:dyDescent="0.25">
      <c r="A41" t="s">
        <v>93</v>
      </c>
      <c r="B41" t="s">
        <v>36</v>
      </c>
      <c r="C41" t="s">
        <v>28</v>
      </c>
      <c r="D41" t="s">
        <v>49</v>
      </c>
      <c r="E41" s="2" t="s">
        <v>663</v>
      </c>
      <c r="F41">
        <v>24</v>
      </c>
      <c r="G41">
        <v>752.72</v>
      </c>
      <c r="H41" t="s">
        <v>29</v>
      </c>
      <c r="I41" t="s">
        <v>55</v>
      </c>
      <c r="J41" s="1">
        <v>45063</v>
      </c>
      <c r="K41" t="s">
        <v>26</v>
      </c>
      <c r="N41">
        <v>9</v>
      </c>
      <c r="O41">
        <v>2</v>
      </c>
      <c r="P41">
        <v>76</v>
      </c>
      <c r="Q41" t="s">
        <v>26</v>
      </c>
      <c r="R41">
        <f>IF(subscriptions[[#This Row],[churned]]="Yes",1,0)</f>
        <v>0</v>
      </c>
      <c r="S41">
        <f ca="1">IF(subscriptions[[#This Row],[churn_flag]]=1, DATEDIF(subscriptions[[#This Row],[signup_date]],subscriptions[[#This Row],[churn_date]],"M"), DATEDIF(subscriptions[[#This Row],[signup_date]],TODAY(),"M"))</f>
        <v>35</v>
      </c>
      <c r="T41">
        <f ca="1">subscriptions[[#This Row],[monthly_revenue]]*subscriptions[[#This Row],[customer_lifetime]]</f>
        <v>26345.200000000001</v>
      </c>
      <c r="U41" t="str">
        <f>IF(subscriptions[[#This Row],[feature_usage_pct]]&lt;30,"High Risk",IF(subscriptions[[#This Row],[feature_usage_pct]]&lt;60,"Medium Risk","Low Risk"))</f>
        <v>Low Risk</v>
      </c>
      <c r="V41">
        <f ca="1">subscriptions[[#This Row],[CLV]]/200</f>
        <v>131.726</v>
      </c>
    </row>
    <row r="42" spans="1:22" x14ac:dyDescent="0.25">
      <c r="A42" t="s">
        <v>94</v>
      </c>
      <c r="B42" t="s">
        <v>31</v>
      </c>
      <c r="C42" t="s">
        <v>19</v>
      </c>
      <c r="D42" t="s">
        <v>62</v>
      </c>
      <c r="E42" s="2" t="s">
        <v>21</v>
      </c>
      <c r="F42">
        <v>53</v>
      </c>
      <c r="G42">
        <v>255.2</v>
      </c>
      <c r="H42" t="s">
        <v>43</v>
      </c>
      <c r="I42" t="s">
        <v>55</v>
      </c>
      <c r="J42" s="1">
        <v>44916</v>
      </c>
      <c r="K42" t="s">
        <v>24</v>
      </c>
      <c r="L42" s="1">
        <v>45065</v>
      </c>
      <c r="M42" t="s">
        <v>46</v>
      </c>
      <c r="N42">
        <v>4</v>
      </c>
      <c r="O42">
        <v>5</v>
      </c>
      <c r="P42">
        <v>45</v>
      </c>
      <c r="Q42" t="s">
        <v>26</v>
      </c>
      <c r="R42">
        <f>IF(subscriptions[[#This Row],[churned]]="Yes",1,0)</f>
        <v>1</v>
      </c>
      <c r="S42">
        <f ca="1">IF(subscriptions[[#This Row],[churn_flag]]=1, DATEDIF(subscriptions[[#This Row],[signup_date]],subscriptions[[#This Row],[churn_date]],"M"), DATEDIF(subscriptions[[#This Row],[signup_date]],TODAY(),"M"))</f>
        <v>4</v>
      </c>
      <c r="T42">
        <f ca="1">subscriptions[[#This Row],[monthly_revenue]]*subscriptions[[#This Row],[customer_lifetime]]</f>
        <v>1020.8</v>
      </c>
      <c r="U42" t="str">
        <f>IF(subscriptions[[#This Row],[feature_usage_pct]]&lt;30,"High Risk",IF(subscriptions[[#This Row],[feature_usage_pct]]&lt;60,"Medium Risk","Low Risk"))</f>
        <v>Medium Risk</v>
      </c>
      <c r="V42">
        <f ca="1">subscriptions[[#This Row],[CLV]]/200</f>
        <v>5.1040000000000001</v>
      </c>
    </row>
    <row r="43" spans="1:22" x14ac:dyDescent="0.25">
      <c r="A43" t="s">
        <v>95</v>
      </c>
      <c r="B43" t="s">
        <v>31</v>
      </c>
      <c r="C43" t="s">
        <v>19</v>
      </c>
      <c r="D43" t="s">
        <v>37</v>
      </c>
      <c r="E43" s="2" t="s">
        <v>21</v>
      </c>
      <c r="F43">
        <v>34</v>
      </c>
      <c r="G43">
        <v>172.55</v>
      </c>
      <c r="H43" t="s">
        <v>34</v>
      </c>
      <c r="I43" t="s">
        <v>38</v>
      </c>
      <c r="J43" s="1">
        <v>45661</v>
      </c>
      <c r="K43" t="s">
        <v>26</v>
      </c>
      <c r="N43">
        <v>9</v>
      </c>
      <c r="O43">
        <v>2</v>
      </c>
      <c r="P43">
        <v>73</v>
      </c>
      <c r="Q43" t="s">
        <v>26</v>
      </c>
      <c r="R43">
        <f>IF(subscriptions[[#This Row],[churned]]="Yes",1,0)</f>
        <v>0</v>
      </c>
      <c r="S43">
        <f ca="1">IF(subscriptions[[#This Row],[churn_flag]]=1, DATEDIF(subscriptions[[#This Row],[signup_date]],subscriptions[[#This Row],[churn_date]],"M"), DATEDIF(subscriptions[[#This Row],[signup_date]],TODAY(),"M"))</f>
        <v>16</v>
      </c>
      <c r="T43">
        <f ca="1">subscriptions[[#This Row],[monthly_revenue]]*subscriptions[[#This Row],[customer_lifetime]]</f>
        <v>2760.8</v>
      </c>
      <c r="U43" t="str">
        <f>IF(subscriptions[[#This Row],[feature_usage_pct]]&lt;30,"High Risk",IF(subscriptions[[#This Row],[feature_usage_pct]]&lt;60,"Medium Risk","Low Risk"))</f>
        <v>Low Risk</v>
      </c>
      <c r="V43">
        <f ca="1">subscriptions[[#This Row],[CLV]]/200</f>
        <v>13.804</v>
      </c>
    </row>
    <row r="44" spans="1:22" x14ac:dyDescent="0.25">
      <c r="A44" t="s">
        <v>96</v>
      </c>
      <c r="B44" t="s">
        <v>18</v>
      </c>
      <c r="C44" t="s">
        <v>28</v>
      </c>
      <c r="D44" t="s">
        <v>40</v>
      </c>
      <c r="E44" s="2" t="s">
        <v>664</v>
      </c>
      <c r="F44">
        <v>2</v>
      </c>
      <c r="G44">
        <v>77.22</v>
      </c>
      <c r="H44" t="s">
        <v>60</v>
      </c>
      <c r="I44" t="s">
        <v>38</v>
      </c>
      <c r="J44" s="1">
        <v>44612</v>
      </c>
      <c r="K44" t="s">
        <v>26</v>
      </c>
      <c r="N44">
        <v>9</v>
      </c>
      <c r="O44">
        <v>9</v>
      </c>
      <c r="P44">
        <v>20</v>
      </c>
      <c r="Q44" t="s">
        <v>26</v>
      </c>
      <c r="R44">
        <f>IF(subscriptions[[#This Row],[churned]]="Yes",1,0)</f>
        <v>0</v>
      </c>
      <c r="S44">
        <f ca="1">IF(subscriptions[[#This Row],[churn_flag]]=1, DATEDIF(subscriptions[[#This Row],[signup_date]],subscriptions[[#This Row],[churn_date]],"M"), DATEDIF(subscriptions[[#This Row],[signup_date]],TODAY(),"M"))</f>
        <v>50</v>
      </c>
      <c r="T44">
        <f ca="1">subscriptions[[#This Row],[monthly_revenue]]*subscriptions[[#This Row],[customer_lifetime]]</f>
        <v>3861</v>
      </c>
      <c r="U44" t="str">
        <f>IF(subscriptions[[#This Row],[feature_usage_pct]]&lt;30,"High Risk",IF(subscriptions[[#This Row],[feature_usage_pct]]&lt;60,"Medium Risk","Low Risk"))</f>
        <v>High Risk</v>
      </c>
      <c r="V44">
        <f ca="1">subscriptions[[#This Row],[CLV]]/200</f>
        <v>19.305</v>
      </c>
    </row>
    <row r="45" spans="1:22" x14ac:dyDescent="0.25">
      <c r="A45" t="s">
        <v>97</v>
      </c>
      <c r="B45" t="s">
        <v>18</v>
      </c>
      <c r="C45" t="s">
        <v>28</v>
      </c>
      <c r="D45" t="s">
        <v>68</v>
      </c>
      <c r="E45" s="2" t="s">
        <v>664</v>
      </c>
      <c r="F45">
        <v>2</v>
      </c>
      <c r="G45">
        <v>77.22</v>
      </c>
      <c r="H45" t="s">
        <v>98</v>
      </c>
      <c r="I45" t="s">
        <v>23</v>
      </c>
      <c r="J45" s="1">
        <v>44678</v>
      </c>
      <c r="K45" t="s">
        <v>24</v>
      </c>
      <c r="L45" s="1">
        <v>44775</v>
      </c>
      <c r="M45" t="s">
        <v>25</v>
      </c>
      <c r="N45">
        <v>7</v>
      </c>
      <c r="O45">
        <v>6</v>
      </c>
      <c r="P45">
        <v>20</v>
      </c>
      <c r="Q45" t="s">
        <v>26</v>
      </c>
      <c r="R45">
        <f>IF(subscriptions[[#This Row],[churned]]="Yes",1,0)</f>
        <v>1</v>
      </c>
      <c r="S45">
        <f ca="1">IF(subscriptions[[#This Row],[churn_flag]]=1, DATEDIF(subscriptions[[#This Row],[signup_date]],subscriptions[[#This Row],[churn_date]],"M"), DATEDIF(subscriptions[[#This Row],[signup_date]],TODAY(),"M"))</f>
        <v>3</v>
      </c>
      <c r="T45">
        <f ca="1">subscriptions[[#This Row],[monthly_revenue]]*subscriptions[[#This Row],[customer_lifetime]]</f>
        <v>231.66</v>
      </c>
      <c r="U45" t="str">
        <f>IF(subscriptions[[#This Row],[feature_usage_pct]]&lt;30,"High Risk",IF(subscriptions[[#This Row],[feature_usage_pct]]&lt;60,"Medium Risk","Low Risk"))</f>
        <v>High Risk</v>
      </c>
      <c r="V45">
        <f ca="1">subscriptions[[#This Row],[CLV]]/200</f>
        <v>1.1582999999999999</v>
      </c>
    </row>
    <row r="46" spans="1:22" x14ac:dyDescent="0.25">
      <c r="A46" t="s">
        <v>99</v>
      </c>
      <c r="B46" t="s">
        <v>31</v>
      </c>
      <c r="C46" t="s">
        <v>19</v>
      </c>
      <c r="D46" t="s">
        <v>20</v>
      </c>
      <c r="E46" s="2" t="s">
        <v>663</v>
      </c>
      <c r="F46">
        <v>7</v>
      </c>
      <c r="G46">
        <v>55.1</v>
      </c>
      <c r="H46" t="s">
        <v>98</v>
      </c>
      <c r="I46" t="s">
        <v>69</v>
      </c>
      <c r="J46" s="1">
        <v>45910</v>
      </c>
      <c r="K46" t="s">
        <v>26</v>
      </c>
      <c r="N46">
        <v>12</v>
      </c>
      <c r="O46">
        <v>4</v>
      </c>
      <c r="P46">
        <v>67</v>
      </c>
      <c r="Q46" t="s">
        <v>26</v>
      </c>
      <c r="R46">
        <f>IF(subscriptions[[#This Row],[churned]]="Yes",1,0)</f>
        <v>0</v>
      </c>
      <c r="S46">
        <f ca="1">IF(subscriptions[[#This Row],[churn_flag]]=1, DATEDIF(subscriptions[[#This Row],[signup_date]],subscriptions[[#This Row],[churn_date]],"M"), DATEDIF(subscriptions[[#This Row],[signup_date]],TODAY(),"M"))</f>
        <v>8</v>
      </c>
      <c r="T46">
        <f ca="1">subscriptions[[#This Row],[monthly_revenue]]*subscriptions[[#This Row],[customer_lifetime]]</f>
        <v>440.8</v>
      </c>
      <c r="U46" t="str">
        <f>IF(subscriptions[[#This Row],[feature_usage_pct]]&lt;30,"High Risk",IF(subscriptions[[#This Row],[feature_usage_pct]]&lt;60,"Medium Risk","Low Risk"))</f>
        <v>Low Risk</v>
      </c>
      <c r="V46">
        <f ca="1">subscriptions[[#This Row],[CLV]]/200</f>
        <v>2.2040000000000002</v>
      </c>
    </row>
    <row r="47" spans="1:22" x14ac:dyDescent="0.25">
      <c r="A47" t="s">
        <v>100</v>
      </c>
      <c r="B47" t="s">
        <v>18</v>
      </c>
      <c r="C47" t="s">
        <v>19</v>
      </c>
      <c r="D47" t="s">
        <v>32</v>
      </c>
      <c r="E47" s="2" t="s">
        <v>664</v>
      </c>
      <c r="F47">
        <v>4</v>
      </c>
      <c r="G47">
        <v>114.55</v>
      </c>
      <c r="H47" t="s">
        <v>60</v>
      </c>
      <c r="I47" t="s">
        <v>23</v>
      </c>
      <c r="J47" s="1">
        <v>45114</v>
      </c>
      <c r="K47" t="s">
        <v>24</v>
      </c>
      <c r="L47" s="1">
        <v>45350</v>
      </c>
      <c r="M47" t="s">
        <v>82</v>
      </c>
      <c r="N47">
        <v>1</v>
      </c>
      <c r="O47">
        <v>6</v>
      </c>
      <c r="P47">
        <v>42</v>
      </c>
      <c r="Q47" t="s">
        <v>26</v>
      </c>
      <c r="R47">
        <f>IF(subscriptions[[#This Row],[churned]]="Yes",1,0)</f>
        <v>1</v>
      </c>
      <c r="S47">
        <f ca="1">IF(subscriptions[[#This Row],[churn_flag]]=1, DATEDIF(subscriptions[[#This Row],[signup_date]],subscriptions[[#This Row],[churn_date]],"M"), DATEDIF(subscriptions[[#This Row],[signup_date]],TODAY(),"M"))</f>
        <v>7</v>
      </c>
      <c r="T47">
        <f ca="1">subscriptions[[#This Row],[monthly_revenue]]*subscriptions[[#This Row],[customer_lifetime]]</f>
        <v>801.85</v>
      </c>
      <c r="U47" t="str">
        <f>IF(subscriptions[[#This Row],[feature_usage_pct]]&lt;30,"High Risk",IF(subscriptions[[#This Row],[feature_usage_pct]]&lt;60,"Medium Risk","Low Risk"))</f>
        <v>Medium Risk</v>
      </c>
      <c r="V47">
        <f ca="1">subscriptions[[#This Row],[CLV]]/200</f>
        <v>4.0092499999999998</v>
      </c>
    </row>
    <row r="48" spans="1:22" x14ac:dyDescent="0.25">
      <c r="A48" t="s">
        <v>101</v>
      </c>
      <c r="B48" t="s">
        <v>36</v>
      </c>
      <c r="C48" t="s">
        <v>19</v>
      </c>
      <c r="D48" t="s">
        <v>49</v>
      </c>
      <c r="E48" s="2" t="s">
        <v>664</v>
      </c>
      <c r="F48">
        <v>5</v>
      </c>
      <c r="G48">
        <v>318.39999999999998</v>
      </c>
      <c r="H48" t="s">
        <v>34</v>
      </c>
      <c r="I48" t="s">
        <v>23</v>
      </c>
      <c r="J48" s="1">
        <v>44943</v>
      </c>
      <c r="K48" t="s">
        <v>24</v>
      </c>
      <c r="L48" s="1">
        <v>45821</v>
      </c>
      <c r="M48" t="s">
        <v>63</v>
      </c>
      <c r="N48">
        <v>15</v>
      </c>
      <c r="O48">
        <v>4</v>
      </c>
      <c r="P48">
        <v>46</v>
      </c>
      <c r="Q48" t="s">
        <v>26</v>
      </c>
      <c r="R48">
        <f>IF(subscriptions[[#This Row],[churned]]="Yes",1,0)</f>
        <v>1</v>
      </c>
      <c r="S48">
        <f ca="1">IF(subscriptions[[#This Row],[churn_flag]]=1, DATEDIF(subscriptions[[#This Row],[signup_date]],subscriptions[[#This Row],[churn_date]],"M"), DATEDIF(subscriptions[[#This Row],[signup_date]],TODAY(),"M"))</f>
        <v>28</v>
      </c>
      <c r="T48">
        <f ca="1">subscriptions[[#This Row],[monthly_revenue]]*subscriptions[[#This Row],[customer_lifetime]]</f>
        <v>8915.1999999999989</v>
      </c>
      <c r="U48" t="str">
        <f>IF(subscriptions[[#This Row],[feature_usage_pct]]&lt;30,"High Risk",IF(subscriptions[[#This Row],[feature_usage_pct]]&lt;60,"Medium Risk","Low Risk"))</f>
        <v>Medium Risk</v>
      </c>
      <c r="V48">
        <f ca="1">subscriptions[[#This Row],[CLV]]/200</f>
        <v>44.575999999999993</v>
      </c>
    </row>
    <row r="49" spans="1:22" x14ac:dyDescent="0.25">
      <c r="A49" t="s">
        <v>102</v>
      </c>
      <c r="B49" t="s">
        <v>36</v>
      </c>
      <c r="C49" t="s">
        <v>28</v>
      </c>
      <c r="D49" t="s">
        <v>62</v>
      </c>
      <c r="E49" s="2" t="s">
        <v>664</v>
      </c>
      <c r="F49">
        <v>4</v>
      </c>
      <c r="G49">
        <v>245.27</v>
      </c>
      <c r="H49" t="s">
        <v>43</v>
      </c>
      <c r="I49" t="s">
        <v>38</v>
      </c>
      <c r="J49" s="1">
        <v>44669</v>
      </c>
      <c r="K49" t="s">
        <v>24</v>
      </c>
      <c r="L49" s="1">
        <v>44754</v>
      </c>
      <c r="M49" t="s">
        <v>53</v>
      </c>
      <c r="N49">
        <v>4</v>
      </c>
      <c r="O49">
        <v>5</v>
      </c>
      <c r="P49">
        <v>16</v>
      </c>
      <c r="Q49" t="s">
        <v>26</v>
      </c>
      <c r="R49">
        <f>IF(subscriptions[[#This Row],[churned]]="Yes",1,0)</f>
        <v>1</v>
      </c>
      <c r="S49">
        <f ca="1">IF(subscriptions[[#This Row],[churn_flag]]=1, DATEDIF(subscriptions[[#This Row],[signup_date]],subscriptions[[#This Row],[churn_date]],"M"), DATEDIF(subscriptions[[#This Row],[signup_date]],TODAY(),"M"))</f>
        <v>2</v>
      </c>
      <c r="T49">
        <f ca="1">subscriptions[[#This Row],[monthly_revenue]]*subscriptions[[#This Row],[customer_lifetime]]</f>
        <v>490.54</v>
      </c>
      <c r="U49" t="str">
        <f>IF(subscriptions[[#This Row],[feature_usage_pct]]&lt;30,"High Risk",IF(subscriptions[[#This Row],[feature_usage_pct]]&lt;60,"Medium Risk","Low Risk"))</f>
        <v>High Risk</v>
      </c>
      <c r="V49">
        <f ca="1">subscriptions[[#This Row],[CLV]]/200</f>
        <v>2.4527000000000001</v>
      </c>
    </row>
    <row r="50" spans="1:22" x14ac:dyDescent="0.25">
      <c r="A50" t="s">
        <v>103</v>
      </c>
      <c r="B50" t="s">
        <v>18</v>
      </c>
      <c r="C50" t="s">
        <v>19</v>
      </c>
      <c r="D50" t="s">
        <v>37</v>
      </c>
      <c r="E50" s="2" t="s">
        <v>21</v>
      </c>
      <c r="F50">
        <v>36</v>
      </c>
      <c r="G50">
        <v>493.75</v>
      </c>
      <c r="H50" t="s">
        <v>34</v>
      </c>
      <c r="I50" t="s">
        <v>55</v>
      </c>
      <c r="J50" s="1">
        <v>44699</v>
      </c>
      <c r="K50" t="s">
        <v>24</v>
      </c>
      <c r="L50" s="1">
        <v>44800</v>
      </c>
      <c r="M50" t="s">
        <v>46</v>
      </c>
      <c r="N50">
        <v>1</v>
      </c>
      <c r="O50">
        <v>6</v>
      </c>
      <c r="P50">
        <v>26</v>
      </c>
      <c r="Q50" t="s">
        <v>26</v>
      </c>
      <c r="R50">
        <f>IF(subscriptions[[#This Row],[churned]]="Yes",1,0)</f>
        <v>1</v>
      </c>
      <c r="S50">
        <f ca="1">IF(subscriptions[[#This Row],[churn_flag]]=1, DATEDIF(subscriptions[[#This Row],[signup_date]],subscriptions[[#This Row],[churn_date]],"M"), DATEDIF(subscriptions[[#This Row],[signup_date]],TODAY(),"M"))</f>
        <v>3</v>
      </c>
      <c r="T50">
        <f ca="1">subscriptions[[#This Row],[monthly_revenue]]*subscriptions[[#This Row],[customer_lifetime]]</f>
        <v>1481.25</v>
      </c>
      <c r="U50" t="str">
        <f>IF(subscriptions[[#This Row],[feature_usage_pct]]&lt;30,"High Risk",IF(subscriptions[[#This Row],[feature_usage_pct]]&lt;60,"Medium Risk","Low Risk"))</f>
        <v>High Risk</v>
      </c>
      <c r="V50">
        <f ca="1">subscriptions[[#This Row],[CLV]]/200</f>
        <v>7.40625</v>
      </c>
    </row>
    <row r="51" spans="1:22" x14ac:dyDescent="0.25">
      <c r="A51" t="s">
        <v>104</v>
      </c>
      <c r="B51" t="s">
        <v>31</v>
      </c>
      <c r="C51" t="s">
        <v>28</v>
      </c>
      <c r="D51" t="s">
        <v>52</v>
      </c>
      <c r="E51" s="2" t="s">
        <v>664</v>
      </c>
      <c r="F51">
        <v>7</v>
      </c>
      <c r="G51">
        <v>46.83</v>
      </c>
      <c r="H51" t="s">
        <v>22</v>
      </c>
      <c r="I51" t="s">
        <v>23</v>
      </c>
      <c r="J51" s="1">
        <v>44734</v>
      </c>
      <c r="K51" t="s">
        <v>24</v>
      </c>
      <c r="L51" s="1">
        <v>45473</v>
      </c>
      <c r="M51" t="s">
        <v>25</v>
      </c>
      <c r="N51">
        <v>2</v>
      </c>
      <c r="O51">
        <v>3</v>
      </c>
      <c r="P51">
        <v>38</v>
      </c>
      <c r="Q51" t="s">
        <v>26</v>
      </c>
      <c r="R51">
        <f>IF(subscriptions[[#This Row],[churned]]="Yes",1,0)</f>
        <v>1</v>
      </c>
      <c r="S51">
        <f ca="1">IF(subscriptions[[#This Row],[churn_flag]]=1, DATEDIF(subscriptions[[#This Row],[signup_date]],subscriptions[[#This Row],[churn_date]],"M"), DATEDIF(subscriptions[[#This Row],[signup_date]],TODAY(),"M"))</f>
        <v>24</v>
      </c>
      <c r="T51">
        <f ca="1">subscriptions[[#This Row],[monthly_revenue]]*subscriptions[[#This Row],[customer_lifetime]]</f>
        <v>1123.92</v>
      </c>
      <c r="U51" t="str">
        <f>IF(subscriptions[[#This Row],[feature_usage_pct]]&lt;30,"High Risk",IF(subscriptions[[#This Row],[feature_usage_pct]]&lt;60,"Medium Risk","Low Risk"))</f>
        <v>Medium Risk</v>
      </c>
      <c r="V51">
        <f ca="1">subscriptions[[#This Row],[CLV]]/200</f>
        <v>5.6196000000000002</v>
      </c>
    </row>
    <row r="52" spans="1:22" x14ac:dyDescent="0.25">
      <c r="A52" t="s">
        <v>105</v>
      </c>
      <c r="B52" t="s">
        <v>18</v>
      </c>
      <c r="C52" t="s">
        <v>19</v>
      </c>
      <c r="D52" t="s">
        <v>79</v>
      </c>
      <c r="E52" s="2" t="s">
        <v>21</v>
      </c>
      <c r="F52">
        <v>58</v>
      </c>
      <c r="G52">
        <v>754.45</v>
      </c>
      <c r="H52" t="s">
        <v>34</v>
      </c>
      <c r="I52" t="s">
        <v>38</v>
      </c>
      <c r="J52" s="1">
        <v>44922</v>
      </c>
      <c r="K52" t="s">
        <v>24</v>
      </c>
      <c r="L52" s="1">
        <v>45030</v>
      </c>
      <c r="M52" t="s">
        <v>25</v>
      </c>
      <c r="N52">
        <v>10</v>
      </c>
      <c r="O52">
        <v>3</v>
      </c>
      <c r="P52">
        <v>29</v>
      </c>
      <c r="Q52" t="s">
        <v>26</v>
      </c>
      <c r="R52">
        <f>IF(subscriptions[[#This Row],[churned]]="Yes",1,0)</f>
        <v>1</v>
      </c>
      <c r="S52">
        <f ca="1">IF(subscriptions[[#This Row],[churn_flag]]=1, DATEDIF(subscriptions[[#This Row],[signup_date]],subscriptions[[#This Row],[churn_date]],"M"), DATEDIF(subscriptions[[#This Row],[signup_date]],TODAY(),"M"))</f>
        <v>3</v>
      </c>
      <c r="T52">
        <f ca="1">subscriptions[[#This Row],[monthly_revenue]]*subscriptions[[#This Row],[customer_lifetime]]</f>
        <v>2263.3500000000004</v>
      </c>
      <c r="U52" t="str">
        <f>IF(subscriptions[[#This Row],[feature_usage_pct]]&lt;30,"High Risk",IF(subscriptions[[#This Row],[feature_usage_pct]]&lt;60,"Medium Risk","Low Risk"))</f>
        <v>High Risk</v>
      </c>
      <c r="V52">
        <f ca="1">subscriptions[[#This Row],[CLV]]/200</f>
        <v>11.316750000000003</v>
      </c>
    </row>
    <row r="53" spans="1:22" x14ac:dyDescent="0.25">
      <c r="A53" t="s">
        <v>106</v>
      </c>
      <c r="B53" t="s">
        <v>31</v>
      </c>
      <c r="C53" t="s">
        <v>19</v>
      </c>
      <c r="D53" t="s">
        <v>52</v>
      </c>
      <c r="E53" s="2" t="s">
        <v>45</v>
      </c>
      <c r="F53">
        <v>138</v>
      </c>
      <c r="G53">
        <v>624.95000000000005</v>
      </c>
      <c r="H53" t="s">
        <v>43</v>
      </c>
      <c r="I53" t="s">
        <v>23</v>
      </c>
      <c r="J53" s="1">
        <v>45732</v>
      </c>
      <c r="K53" t="s">
        <v>24</v>
      </c>
      <c r="L53" s="1">
        <v>45853</v>
      </c>
      <c r="M53" t="s">
        <v>53</v>
      </c>
      <c r="N53">
        <v>0</v>
      </c>
      <c r="O53">
        <v>1</v>
      </c>
      <c r="P53">
        <v>38</v>
      </c>
      <c r="Q53" t="s">
        <v>26</v>
      </c>
      <c r="R53">
        <f>IF(subscriptions[[#This Row],[churned]]="Yes",1,0)</f>
        <v>1</v>
      </c>
      <c r="S53">
        <f ca="1">IF(subscriptions[[#This Row],[churn_flag]]=1, DATEDIF(subscriptions[[#This Row],[signup_date]],subscriptions[[#This Row],[churn_date]],"M"), DATEDIF(subscriptions[[#This Row],[signup_date]],TODAY(),"M"))</f>
        <v>3</v>
      </c>
      <c r="T53">
        <f ca="1">subscriptions[[#This Row],[monthly_revenue]]*subscriptions[[#This Row],[customer_lifetime]]</f>
        <v>1874.8500000000001</v>
      </c>
      <c r="U53" t="str">
        <f>IF(subscriptions[[#This Row],[feature_usage_pct]]&lt;30,"High Risk",IF(subscriptions[[#This Row],[feature_usage_pct]]&lt;60,"Medium Risk","Low Risk"))</f>
        <v>Medium Risk</v>
      </c>
      <c r="V53">
        <f ca="1">subscriptions[[#This Row],[CLV]]/200</f>
        <v>9.37425</v>
      </c>
    </row>
    <row r="54" spans="1:22" x14ac:dyDescent="0.25">
      <c r="A54" t="s">
        <v>107</v>
      </c>
      <c r="B54" t="s">
        <v>31</v>
      </c>
      <c r="C54" t="s">
        <v>19</v>
      </c>
      <c r="D54" t="s">
        <v>40</v>
      </c>
      <c r="E54" s="2" t="s">
        <v>664</v>
      </c>
      <c r="F54">
        <v>4</v>
      </c>
      <c r="G54">
        <v>42.05</v>
      </c>
      <c r="H54" t="s">
        <v>22</v>
      </c>
      <c r="I54" t="s">
        <v>23</v>
      </c>
      <c r="J54" s="1">
        <v>45750</v>
      </c>
      <c r="K54" t="s">
        <v>24</v>
      </c>
      <c r="L54" s="1">
        <v>45842</v>
      </c>
      <c r="M54" t="s">
        <v>25</v>
      </c>
      <c r="N54">
        <v>1</v>
      </c>
      <c r="O54">
        <v>2</v>
      </c>
      <c r="P54">
        <v>43</v>
      </c>
      <c r="Q54" t="s">
        <v>26</v>
      </c>
      <c r="R54">
        <f>IF(subscriptions[[#This Row],[churned]]="Yes",1,0)</f>
        <v>1</v>
      </c>
      <c r="S54">
        <f ca="1">IF(subscriptions[[#This Row],[churn_flag]]=1, DATEDIF(subscriptions[[#This Row],[signup_date]],subscriptions[[#This Row],[churn_date]],"M"), DATEDIF(subscriptions[[#This Row],[signup_date]],TODAY(),"M"))</f>
        <v>3</v>
      </c>
      <c r="T54">
        <f ca="1">subscriptions[[#This Row],[monthly_revenue]]*subscriptions[[#This Row],[customer_lifetime]]</f>
        <v>126.14999999999999</v>
      </c>
      <c r="U54" t="str">
        <f>IF(subscriptions[[#This Row],[feature_usage_pct]]&lt;30,"High Risk",IF(subscriptions[[#This Row],[feature_usage_pct]]&lt;60,"Medium Risk","Low Risk"))</f>
        <v>Medium Risk</v>
      </c>
      <c r="V54">
        <f ca="1">subscriptions[[#This Row],[CLV]]/200</f>
        <v>0.63074999999999992</v>
      </c>
    </row>
    <row r="55" spans="1:22" x14ac:dyDescent="0.25">
      <c r="A55" t="s">
        <v>108</v>
      </c>
      <c r="B55" t="s">
        <v>18</v>
      </c>
      <c r="C55" t="s">
        <v>28</v>
      </c>
      <c r="D55" t="s">
        <v>52</v>
      </c>
      <c r="E55" s="2" t="s">
        <v>45</v>
      </c>
      <c r="F55">
        <v>82</v>
      </c>
      <c r="G55">
        <v>883.02</v>
      </c>
      <c r="H55" t="s">
        <v>98</v>
      </c>
      <c r="I55" t="s">
        <v>23</v>
      </c>
      <c r="J55" s="1">
        <v>45466</v>
      </c>
      <c r="K55" t="s">
        <v>26</v>
      </c>
      <c r="N55">
        <v>4</v>
      </c>
      <c r="O55">
        <v>8</v>
      </c>
      <c r="P55">
        <v>81</v>
      </c>
      <c r="Q55" t="s">
        <v>26</v>
      </c>
      <c r="R55">
        <f>IF(subscriptions[[#This Row],[churned]]="Yes",1,0)</f>
        <v>0</v>
      </c>
      <c r="S55">
        <f ca="1">IF(subscriptions[[#This Row],[churn_flag]]=1, DATEDIF(subscriptions[[#This Row],[signup_date]],subscriptions[[#This Row],[churn_date]],"M"), DATEDIF(subscriptions[[#This Row],[signup_date]],TODAY(),"M"))</f>
        <v>22</v>
      </c>
      <c r="T55">
        <f ca="1">subscriptions[[#This Row],[monthly_revenue]]*subscriptions[[#This Row],[customer_lifetime]]</f>
        <v>19426.439999999999</v>
      </c>
      <c r="U55" t="str">
        <f>IF(subscriptions[[#This Row],[feature_usage_pct]]&lt;30,"High Risk",IF(subscriptions[[#This Row],[feature_usage_pct]]&lt;60,"Medium Risk","Low Risk"))</f>
        <v>Low Risk</v>
      </c>
      <c r="V55">
        <f ca="1">subscriptions[[#This Row],[CLV]]/200</f>
        <v>97.132199999999997</v>
      </c>
    </row>
    <row r="56" spans="1:22" x14ac:dyDescent="0.25">
      <c r="A56" t="s">
        <v>109</v>
      </c>
      <c r="B56" t="s">
        <v>36</v>
      </c>
      <c r="C56" t="s">
        <v>19</v>
      </c>
      <c r="D56" t="s">
        <v>40</v>
      </c>
      <c r="E56" s="2" t="s">
        <v>664</v>
      </c>
      <c r="F56">
        <v>7</v>
      </c>
      <c r="G56">
        <v>378.1</v>
      </c>
      <c r="H56" t="s">
        <v>22</v>
      </c>
      <c r="I56" t="s">
        <v>23</v>
      </c>
      <c r="J56" s="1">
        <v>44664</v>
      </c>
      <c r="K56" t="s">
        <v>24</v>
      </c>
      <c r="L56" s="1">
        <v>45551</v>
      </c>
      <c r="M56" t="s">
        <v>82</v>
      </c>
      <c r="N56">
        <v>6</v>
      </c>
      <c r="O56">
        <v>2</v>
      </c>
      <c r="P56">
        <v>21</v>
      </c>
      <c r="Q56" t="s">
        <v>26</v>
      </c>
      <c r="R56">
        <f>IF(subscriptions[[#This Row],[churned]]="Yes",1,0)</f>
        <v>1</v>
      </c>
      <c r="S56">
        <f ca="1">IF(subscriptions[[#This Row],[churn_flag]]=1, DATEDIF(subscriptions[[#This Row],[signup_date]],subscriptions[[#This Row],[churn_date]],"M"), DATEDIF(subscriptions[[#This Row],[signup_date]],TODAY(),"M"))</f>
        <v>29</v>
      </c>
      <c r="T56">
        <f ca="1">subscriptions[[#This Row],[monthly_revenue]]*subscriptions[[#This Row],[customer_lifetime]]</f>
        <v>10964.900000000001</v>
      </c>
      <c r="U56" t="str">
        <f>IF(subscriptions[[#This Row],[feature_usage_pct]]&lt;30,"High Risk",IF(subscriptions[[#This Row],[feature_usage_pct]]&lt;60,"Medium Risk","Low Risk"))</f>
        <v>High Risk</v>
      </c>
      <c r="V56">
        <f ca="1">subscriptions[[#This Row],[CLV]]/200</f>
        <v>54.824500000000008</v>
      </c>
    </row>
    <row r="57" spans="1:22" x14ac:dyDescent="0.25">
      <c r="A57" t="s">
        <v>110</v>
      </c>
      <c r="B57" t="s">
        <v>36</v>
      </c>
      <c r="C57" t="s">
        <v>19</v>
      </c>
      <c r="D57" t="s">
        <v>42</v>
      </c>
      <c r="E57" s="2" t="s">
        <v>663</v>
      </c>
      <c r="F57">
        <v>14</v>
      </c>
      <c r="G57">
        <v>587.04999999999995</v>
      </c>
      <c r="H57" t="s">
        <v>60</v>
      </c>
      <c r="I57" t="s">
        <v>23</v>
      </c>
      <c r="J57" s="1">
        <v>45649</v>
      </c>
      <c r="K57" t="s">
        <v>24</v>
      </c>
      <c r="L57" s="1">
        <v>45976</v>
      </c>
      <c r="M57" t="s">
        <v>82</v>
      </c>
      <c r="N57">
        <v>3</v>
      </c>
      <c r="O57">
        <v>2</v>
      </c>
      <c r="P57">
        <v>37</v>
      </c>
      <c r="Q57" t="s">
        <v>26</v>
      </c>
      <c r="R57">
        <f>IF(subscriptions[[#This Row],[churned]]="Yes",1,0)</f>
        <v>1</v>
      </c>
      <c r="S57">
        <f ca="1">IF(subscriptions[[#This Row],[churn_flag]]=1, DATEDIF(subscriptions[[#This Row],[signup_date]],subscriptions[[#This Row],[churn_date]],"M"), DATEDIF(subscriptions[[#This Row],[signup_date]],TODAY(),"M"))</f>
        <v>10</v>
      </c>
      <c r="T57">
        <f ca="1">subscriptions[[#This Row],[monthly_revenue]]*subscriptions[[#This Row],[customer_lifetime]]</f>
        <v>5870.5</v>
      </c>
      <c r="U57" t="str">
        <f>IF(subscriptions[[#This Row],[feature_usage_pct]]&lt;30,"High Risk",IF(subscriptions[[#This Row],[feature_usage_pct]]&lt;60,"Medium Risk","Low Risk"))</f>
        <v>Medium Risk</v>
      </c>
      <c r="V57">
        <f ca="1">subscriptions[[#This Row],[CLV]]/200</f>
        <v>29.352499999999999</v>
      </c>
    </row>
    <row r="58" spans="1:22" x14ac:dyDescent="0.25">
      <c r="A58" t="s">
        <v>111</v>
      </c>
      <c r="B58" t="s">
        <v>18</v>
      </c>
      <c r="C58" t="s">
        <v>28</v>
      </c>
      <c r="D58" t="s">
        <v>52</v>
      </c>
      <c r="E58" s="2" t="s">
        <v>663</v>
      </c>
      <c r="F58">
        <v>34</v>
      </c>
      <c r="G58">
        <v>399.54</v>
      </c>
      <c r="H58" t="s">
        <v>43</v>
      </c>
      <c r="I58" t="s">
        <v>23</v>
      </c>
      <c r="J58" s="1">
        <v>45485</v>
      </c>
      <c r="K58" t="s">
        <v>24</v>
      </c>
      <c r="L58" s="1">
        <v>45874</v>
      </c>
      <c r="M58" t="s">
        <v>63</v>
      </c>
      <c r="N58">
        <v>1</v>
      </c>
      <c r="O58">
        <v>1</v>
      </c>
      <c r="P58">
        <v>10</v>
      </c>
      <c r="Q58" t="s">
        <v>26</v>
      </c>
      <c r="R58">
        <f>IF(subscriptions[[#This Row],[churned]]="Yes",1,0)</f>
        <v>1</v>
      </c>
      <c r="S58">
        <f ca="1">IF(subscriptions[[#This Row],[churn_flag]]=1, DATEDIF(subscriptions[[#This Row],[signup_date]],subscriptions[[#This Row],[churn_date]],"M"), DATEDIF(subscriptions[[#This Row],[signup_date]],TODAY(),"M"))</f>
        <v>12</v>
      </c>
      <c r="T58">
        <f ca="1">subscriptions[[#This Row],[monthly_revenue]]*subscriptions[[#This Row],[customer_lifetime]]</f>
        <v>4794.4800000000005</v>
      </c>
      <c r="U58" t="str">
        <f>IF(subscriptions[[#This Row],[feature_usage_pct]]&lt;30,"High Risk",IF(subscriptions[[#This Row],[feature_usage_pct]]&lt;60,"Medium Risk","Low Risk"))</f>
        <v>High Risk</v>
      </c>
      <c r="V58">
        <f ca="1">subscriptions[[#This Row],[CLV]]/200</f>
        <v>23.972400000000004</v>
      </c>
    </row>
    <row r="59" spans="1:22" x14ac:dyDescent="0.25">
      <c r="A59" t="s">
        <v>112</v>
      </c>
      <c r="B59" t="s">
        <v>31</v>
      </c>
      <c r="C59" t="s">
        <v>19</v>
      </c>
      <c r="D59" t="s">
        <v>37</v>
      </c>
      <c r="E59" s="2" t="s">
        <v>45</v>
      </c>
      <c r="F59">
        <v>48</v>
      </c>
      <c r="G59">
        <v>233.45</v>
      </c>
      <c r="H59" t="s">
        <v>43</v>
      </c>
      <c r="I59" t="s">
        <v>38</v>
      </c>
      <c r="J59" s="1">
        <v>44814</v>
      </c>
      <c r="K59" t="s">
        <v>24</v>
      </c>
      <c r="L59" s="1">
        <v>45002</v>
      </c>
      <c r="M59" t="s">
        <v>25</v>
      </c>
      <c r="N59">
        <v>2</v>
      </c>
      <c r="O59">
        <v>1</v>
      </c>
      <c r="P59">
        <v>12</v>
      </c>
      <c r="Q59" t="s">
        <v>26</v>
      </c>
      <c r="R59">
        <f>IF(subscriptions[[#This Row],[churned]]="Yes",1,0)</f>
        <v>1</v>
      </c>
      <c r="S59">
        <f ca="1">IF(subscriptions[[#This Row],[churn_flag]]=1, DATEDIF(subscriptions[[#This Row],[signup_date]],subscriptions[[#This Row],[churn_date]],"M"), DATEDIF(subscriptions[[#This Row],[signup_date]],TODAY(),"M"))</f>
        <v>6</v>
      </c>
      <c r="T59">
        <f ca="1">subscriptions[[#This Row],[monthly_revenue]]*subscriptions[[#This Row],[customer_lifetime]]</f>
        <v>1400.6999999999998</v>
      </c>
      <c r="U59" t="str">
        <f>IF(subscriptions[[#This Row],[feature_usage_pct]]&lt;30,"High Risk",IF(subscriptions[[#This Row],[feature_usage_pct]]&lt;60,"Medium Risk","Low Risk"))</f>
        <v>High Risk</v>
      </c>
      <c r="V59">
        <f ca="1">subscriptions[[#This Row],[CLV]]/200</f>
        <v>7.0034999999999989</v>
      </c>
    </row>
    <row r="60" spans="1:22" x14ac:dyDescent="0.25">
      <c r="A60" t="s">
        <v>113</v>
      </c>
      <c r="B60" t="s">
        <v>18</v>
      </c>
      <c r="C60" t="s">
        <v>28</v>
      </c>
      <c r="D60" t="s">
        <v>52</v>
      </c>
      <c r="E60" s="2" t="s">
        <v>663</v>
      </c>
      <c r="F60">
        <v>28</v>
      </c>
      <c r="G60">
        <v>339.11</v>
      </c>
      <c r="H60" t="s">
        <v>98</v>
      </c>
      <c r="I60" t="s">
        <v>23</v>
      </c>
      <c r="J60" s="1">
        <v>45290</v>
      </c>
      <c r="K60" t="s">
        <v>24</v>
      </c>
      <c r="L60" s="1">
        <v>45575</v>
      </c>
      <c r="M60" t="s">
        <v>82</v>
      </c>
      <c r="N60">
        <v>5</v>
      </c>
      <c r="O60">
        <v>1</v>
      </c>
      <c r="P60">
        <v>13</v>
      </c>
      <c r="Q60" t="s">
        <v>26</v>
      </c>
      <c r="R60">
        <f>IF(subscriptions[[#This Row],[churned]]="Yes",1,0)</f>
        <v>1</v>
      </c>
      <c r="S60">
        <f ca="1">IF(subscriptions[[#This Row],[churn_flag]]=1, DATEDIF(subscriptions[[#This Row],[signup_date]],subscriptions[[#This Row],[churn_date]],"M"), DATEDIF(subscriptions[[#This Row],[signup_date]],TODAY(),"M"))</f>
        <v>9</v>
      </c>
      <c r="T60">
        <f ca="1">subscriptions[[#This Row],[monthly_revenue]]*subscriptions[[#This Row],[customer_lifetime]]</f>
        <v>3051.9900000000002</v>
      </c>
      <c r="U60" t="str">
        <f>IF(subscriptions[[#This Row],[feature_usage_pct]]&lt;30,"High Risk",IF(subscriptions[[#This Row],[feature_usage_pct]]&lt;60,"Medium Risk","Low Risk"))</f>
        <v>High Risk</v>
      </c>
      <c r="V60">
        <f ca="1">subscriptions[[#This Row],[CLV]]/200</f>
        <v>15.259950000000002</v>
      </c>
    </row>
    <row r="61" spans="1:22" x14ac:dyDescent="0.25">
      <c r="A61" t="s">
        <v>114</v>
      </c>
      <c r="B61" t="s">
        <v>18</v>
      </c>
      <c r="C61" t="s">
        <v>19</v>
      </c>
      <c r="D61" t="s">
        <v>32</v>
      </c>
      <c r="E61" s="2" t="s">
        <v>21</v>
      </c>
      <c r="F61">
        <v>59</v>
      </c>
      <c r="G61">
        <v>766.3</v>
      </c>
      <c r="H61" t="s">
        <v>34</v>
      </c>
      <c r="I61" t="s">
        <v>55</v>
      </c>
      <c r="J61" s="1">
        <v>45503</v>
      </c>
      <c r="K61" t="s">
        <v>24</v>
      </c>
      <c r="L61" s="1">
        <v>45542</v>
      </c>
      <c r="M61" t="s">
        <v>50</v>
      </c>
      <c r="N61">
        <v>12</v>
      </c>
      <c r="O61">
        <v>1</v>
      </c>
      <c r="P61">
        <v>45</v>
      </c>
      <c r="Q61" t="s">
        <v>26</v>
      </c>
      <c r="R61">
        <f>IF(subscriptions[[#This Row],[churned]]="Yes",1,0)</f>
        <v>1</v>
      </c>
      <c r="S61">
        <f ca="1">IF(subscriptions[[#This Row],[churn_flag]]=1, DATEDIF(subscriptions[[#This Row],[signup_date]],subscriptions[[#This Row],[churn_date]],"M"), DATEDIF(subscriptions[[#This Row],[signup_date]],TODAY(),"M"))</f>
        <v>1</v>
      </c>
      <c r="T61">
        <f ca="1">subscriptions[[#This Row],[monthly_revenue]]*subscriptions[[#This Row],[customer_lifetime]]</f>
        <v>766.3</v>
      </c>
      <c r="U61" t="str">
        <f>IF(subscriptions[[#This Row],[feature_usage_pct]]&lt;30,"High Risk",IF(subscriptions[[#This Row],[feature_usage_pct]]&lt;60,"Medium Risk","Low Risk"))</f>
        <v>Medium Risk</v>
      </c>
      <c r="V61">
        <f ca="1">subscriptions[[#This Row],[CLV]]/200</f>
        <v>3.8314999999999997</v>
      </c>
    </row>
    <row r="62" spans="1:22" x14ac:dyDescent="0.25">
      <c r="A62" t="s">
        <v>115</v>
      </c>
      <c r="B62" t="s">
        <v>36</v>
      </c>
      <c r="C62" t="s">
        <v>19</v>
      </c>
      <c r="D62" t="s">
        <v>68</v>
      </c>
      <c r="E62" s="2" t="s">
        <v>21</v>
      </c>
      <c r="F62">
        <v>53</v>
      </c>
      <c r="G62">
        <v>1751.2</v>
      </c>
      <c r="H62" t="s">
        <v>43</v>
      </c>
      <c r="I62" t="s">
        <v>38</v>
      </c>
      <c r="J62" s="1">
        <v>44645</v>
      </c>
      <c r="K62" t="s">
        <v>24</v>
      </c>
      <c r="L62" s="1">
        <v>45022</v>
      </c>
      <c r="M62" t="s">
        <v>50</v>
      </c>
      <c r="N62">
        <v>13</v>
      </c>
      <c r="O62">
        <v>5</v>
      </c>
      <c r="P62">
        <v>11</v>
      </c>
      <c r="Q62" t="s">
        <v>26</v>
      </c>
      <c r="R62">
        <f>IF(subscriptions[[#This Row],[churned]]="Yes",1,0)</f>
        <v>1</v>
      </c>
      <c r="S62">
        <f ca="1">IF(subscriptions[[#This Row],[churn_flag]]=1, DATEDIF(subscriptions[[#This Row],[signup_date]],subscriptions[[#This Row],[churn_date]],"M"), DATEDIF(subscriptions[[#This Row],[signup_date]],TODAY(),"M"))</f>
        <v>12</v>
      </c>
      <c r="T62">
        <f ca="1">subscriptions[[#This Row],[monthly_revenue]]*subscriptions[[#This Row],[customer_lifetime]]</f>
        <v>21014.400000000001</v>
      </c>
      <c r="U62" t="str">
        <f>IF(subscriptions[[#This Row],[feature_usage_pct]]&lt;30,"High Risk",IF(subscriptions[[#This Row],[feature_usage_pct]]&lt;60,"Medium Risk","Low Risk"))</f>
        <v>High Risk</v>
      </c>
      <c r="V62">
        <f ca="1">subscriptions[[#This Row],[CLV]]/200</f>
        <v>105.072</v>
      </c>
    </row>
    <row r="63" spans="1:22" x14ac:dyDescent="0.25">
      <c r="A63" t="s">
        <v>116</v>
      </c>
      <c r="B63" t="s">
        <v>18</v>
      </c>
      <c r="C63" t="s">
        <v>19</v>
      </c>
      <c r="D63" t="s">
        <v>32</v>
      </c>
      <c r="E63" s="2" t="s">
        <v>663</v>
      </c>
      <c r="F63">
        <v>21</v>
      </c>
      <c r="G63">
        <v>316</v>
      </c>
      <c r="H63" t="s">
        <v>60</v>
      </c>
      <c r="I63" t="s">
        <v>23</v>
      </c>
      <c r="J63" s="1">
        <v>44835</v>
      </c>
      <c r="K63" t="s">
        <v>24</v>
      </c>
      <c r="L63" s="1">
        <v>45395</v>
      </c>
      <c r="M63" t="s">
        <v>50</v>
      </c>
      <c r="N63">
        <v>1</v>
      </c>
      <c r="O63">
        <v>3</v>
      </c>
      <c r="P63">
        <v>16</v>
      </c>
      <c r="Q63" t="s">
        <v>26</v>
      </c>
      <c r="R63">
        <f>IF(subscriptions[[#This Row],[churned]]="Yes",1,0)</f>
        <v>1</v>
      </c>
      <c r="S63">
        <f ca="1">IF(subscriptions[[#This Row],[churn_flag]]=1, DATEDIF(subscriptions[[#This Row],[signup_date]],subscriptions[[#This Row],[churn_date]],"M"), DATEDIF(subscriptions[[#This Row],[signup_date]],TODAY(),"M"))</f>
        <v>18</v>
      </c>
      <c r="T63">
        <f ca="1">subscriptions[[#This Row],[monthly_revenue]]*subscriptions[[#This Row],[customer_lifetime]]</f>
        <v>5688</v>
      </c>
      <c r="U63" t="str">
        <f>IF(subscriptions[[#This Row],[feature_usage_pct]]&lt;30,"High Risk",IF(subscriptions[[#This Row],[feature_usage_pct]]&lt;60,"Medium Risk","Low Risk"))</f>
        <v>High Risk</v>
      </c>
      <c r="V63">
        <f ca="1">subscriptions[[#This Row],[CLV]]/200</f>
        <v>28.44</v>
      </c>
    </row>
    <row r="64" spans="1:22" x14ac:dyDescent="0.25">
      <c r="A64" t="s">
        <v>117</v>
      </c>
      <c r="B64" t="s">
        <v>71</v>
      </c>
      <c r="C64" t="s">
        <v>28</v>
      </c>
      <c r="D64" t="s">
        <v>20</v>
      </c>
      <c r="E64" s="2" t="s">
        <v>663</v>
      </c>
      <c r="F64">
        <v>18</v>
      </c>
      <c r="G64">
        <v>1505.73</v>
      </c>
      <c r="H64" t="s">
        <v>22</v>
      </c>
      <c r="I64" t="s">
        <v>23</v>
      </c>
      <c r="J64" s="1">
        <v>45890</v>
      </c>
      <c r="K64" t="s">
        <v>26</v>
      </c>
      <c r="N64">
        <v>3</v>
      </c>
      <c r="O64">
        <v>7</v>
      </c>
      <c r="P64">
        <v>61</v>
      </c>
      <c r="Q64" t="s">
        <v>26</v>
      </c>
      <c r="R64">
        <f>IF(subscriptions[[#This Row],[churned]]="Yes",1,0)</f>
        <v>0</v>
      </c>
      <c r="S64">
        <f ca="1">IF(subscriptions[[#This Row],[churn_flag]]=1, DATEDIF(subscriptions[[#This Row],[signup_date]],subscriptions[[#This Row],[churn_date]],"M"), DATEDIF(subscriptions[[#This Row],[signup_date]],TODAY(),"M"))</f>
        <v>8</v>
      </c>
      <c r="T64">
        <f ca="1">subscriptions[[#This Row],[monthly_revenue]]*subscriptions[[#This Row],[customer_lifetime]]</f>
        <v>12045.84</v>
      </c>
      <c r="U64" t="str">
        <f>IF(subscriptions[[#This Row],[feature_usage_pct]]&lt;30,"High Risk",IF(subscriptions[[#This Row],[feature_usage_pct]]&lt;60,"Medium Risk","Low Risk"))</f>
        <v>Low Risk</v>
      </c>
      <c r="V64">
        <f ca="1">subscriptions[[#This Row],[CLV]]/200</f>
        <v>60.229199999999999</v>
      </c>
    </row>
    <row r="65" spans="1:22" x14ac:dyDescent="0.25">
      <c r="A65" t="s">
        <v>118</v>
      </c>
      <c r="B65" t="s">
        <v>18</v>
      </c>
      <c r="C65" t="s">
        <v>28</v>
      </c>
      <c r="D65" t="s">
        <v>20</v>
      </c>
      <c r="E65" s="2" t="s">
        <v>21</v>
      </c>
      <c r="F65">
        <v>51</v>
      </c>
      <c r="G65">
        <v>570.77</v>
      </c>
      <c r="H65" t="s">
        <v>29</v>
      </c>
      <c r="I65" t="s">
        <v>55</v>
      </c>
      <c r="J65" s="1">
        <v>44836</v>
      </c>
      <c r="K65" t="s">
        <v>26</v>
      </c>
      <c r="N65">
        <v>1</v>
      </c>
      <c r="O65">
        <v>10</v>
      </c>
      <c r="P65">
        <v>33</v>
      </c>
      <c r="Q65" t="s">
        <v>26</v>
      </c>
      <c r="R65">
        <f>IF(subscriptions[[#This Row],[churned]]="Yes",1,0)</f>
        <v>0</v>
      </c>
      <c r="S65">
        <f ca="1">IF(subscriptions[[#This Row],[churn_flag]]=1, DATEDIF(subscriptions[[#This Row],[signup_date]],subscriptions[[#This Row],[churn_date]],"M"), DATEDIF(subscriptions[[#This Row],[signup_date]],TODAY(),"M"))</f>
        <v>43</v>
      </c>
      <c r="T65">
        <f ca="1">subscriptions[[#This Row],[monthly_revenue]]*subscriptions[[#This Row],[customer_lifetime]]</f>
        <v>24543.11</v>
      </c>
      <c r="U65" t="str">
        <f>IF(subscriptions[[#This Row],[feature_usage_pct]]&lt;30,"High Risk",IF(subscriptions[[#This Row],[feature_usage_pct]]&lt;60,"Medium Risk","Low Risk"))</f>
        <v>Medium Risk</v>
      </c>
      <c r="V65">
        <f ca="1">subscriptions[[#This Row],[CLV]]/200</f>
        <v>122.71555000000001</v>
      </c>
    </row>
    <row r="66" spans="1:22" x14ac:dyDescent="0.25">
      <c r="A66" t="s">
        <v>119</v>
      </c>
      <c r="B66" t="s">
        <v>31</v>
      </c>
      <c r="C66" t="s">
        <v>19</v>
      </c>
      <c r="D66" t="s">
        <v>40</v>
      </c>
      <c r="E66" s="2" t="s">
        <v>45</v>
      </c>
      <c r="F66">
        <v>60</v>
      </c>
      <c r="G66">
        <v>285.64999999999998</v>
      </c>
      <c r="H66" t="s">
        <v>29</v>
      </c>
      <c r="I66" t="s">
        <v>23</v>
      </c>
      <c r="J66" s="1">
        <v>44877</v>
      </c>
      <c r="K66" t="s">
        <v>24</v>
      </c>
      <c r="L66" s="1">
        <v>44885</v>
      </c>
      <c r="M66" t="s">
        <v>46</v>
      </c>
      <c r="N66">
        <v>13</v>
      </c>
      <c r="O66">
        <v>3</v>
      </c>
      <c r="P66">
        <v>46</v>
      </c>
      <c r="Q66" t="s">
        <v>26</v>
      </c>
      <c r="R66">
        <f>IF(subscriptions[[#This Row],[churned]]="Yes",1,0)</f>
        <v>1</v>
      </c>
      <c r="S66">
        <f ca="1">IF(subscriptions[[#This Row],[churn_flag]]=1, DATEDIF(subscriptions[[#This Row],[signup_date]],subscriptions[[#This Row],[churn_date]],"M"), DATEDIF(subscriptions[[#This Row],[signup_date]],TODAY(),"M"))</f>
        <v>0</v>
      </c>
      <c r="T66">
        <f ca="1">subscriptions[[#This Row],[monthly_revenue]]*subscriptions[[#This Row],[customer_lifetime]]</f>
        <v>0</v>
      </c>
      <c r="U66" t="str">
        <f>IF(subscriptions[[#This Row],[feature_usage_pct]]&lt;30,"High Risk",IF(subscriptions[[#This Row],[feature_usage_pct]]&lt;60,"Medium Risk","Low Risk"))</f>
        <v>Medium Risk</v>
      </c>
      <c r="V66">
        <f ca="1">subscriptions[[#This Row],[CLV]]/200</f>
        <v>0</v>
      </c>
    </row>
    <row r="67" spans="1:22" x14ac:dyDescent="0.25">
      <c r="A67" t="s">
        <v>120</v>
      </c>
      <c r="B67" t="s">
        <v>31</v>
      </c>
      <c r="C67" t="s">
        <v>28</v>
      </c>
      <c r="D67" t="s">
        <v>62</v>
      </c>
      <c r="E67" s="2" t="s">
        <v>21</v>
      </c>
      <c r="F67">
        <v>55</v>
      </c>
      <c r="G67">
        <v>224.31</v>
      </c>
      <c r="H67" t="s">
        <v>22</v>
      </c>
      <c r="I67" t="s">
        <v>23</v>
      </c>
      <c r="J67" s="1">
        <v>45471</v>
      </c>
      <c r="K67" t="s">
        <v>24</v>
      </c>
      <c r="L67" s="1">
        <v>45494</v>
      </c>
      <c r="M67" t="s">
        <v>46</v>
      </c>
      <c r="N67">
        <v>12</v>
      </c>
      <c r="O67">
        <v>1</v>
      </c>
      <c r="P67">
        <v>12</v>
      </c>
      <c r="Q67" t="s">
        <v>26</v>
      </c>
      <c r="R67">
        <f>IF(subscriptions[[#This Row],[churned]]="Yes",1,0)</f>
        <v>1</v>
      </c>
      <c r="S67">
        <f ca="1">IF(subscriptions[[#This Row],[churn_flag]]=1, DATEDIF(subscriptions[[#This Row],[signup_date]],subscriptions[[#This Row],[churn_date]],"M"), DATEDIF(subscriptions[[#This Row],[signup_date]],TODAY(),"M"))</f>
        <v>0</v>
      </c>
      <c r="T67">
        <f ca="1">subscriptions[[#This Row],[monthly_revenue]]*subscriptions[[#This Row],[customer_lifetime]]</f>
        <v>0</v>
      </c>
      <c r="U67" t="str">
        <f>IF(subscriptions[[#This Row],[feature_usage_pct]]&lt;30,"High Risk",IF(subscriptions[[#This Row],[feature_usage_pct]]&lt;60,"Medium Risk","Low Risk"))</f>
        <v>High Risk</v>
      </c>
      <c r="V67">
        <f ca="1">subscriptions[[#This Row],[CLV]]/200</f>
        <v>0</v>
      </c>
    </row>
    <row r="68" spans="1:22" x14ac:dyDescent="0.25">
      <c r="A68" t="s">
        <v>121</v>
      </c>
      <c r="B68" t="s">
        <v>36</v>
      </c>
      <c r="C68" t="s">
        <v>28</v>
      </c>
      <c r="D68" t="s">
        <v>49</v>
      </c>
      <c r="E68" s="2" t="s">
        <v>664</v>
      </c>
      <c r="F68">
        <v>7</v>
      </c>
      <c r="G68">
        <v>321.38</v>
      </c>
      <c r="H68" t="s">
        <v>60</v>
      </c>
      <c r="I68" t="s">
        <v>23</v>
      </c>
      <c r="J68" s="1">
        <v>45197</v>
      </c>
      <c r="K68" t="s">
        <v>26</v>
      </c>
      <c r="N68">
        <v>4</v>
      </c>
      <c r="O68">
        <v>8</v>
      </c>
      <c r="P68">
        <v>30</v>
      </c>
      <c r="Q68" t="s">
        <v>26</v>
      </c>
      <c r="R68">
        <f>IF(subscriptions[[#This Row],[churned]]="Yes",1,0)</f>
        <v>0</v>
      </c>
      <c r="S68">
        <f ca="1">IF(subscriptions[[#This Row],[churn_flag]]=1, DATEDIF(subscriptions[[#This Row],[signup_date]],subscriptions[[#This Row],[churn_date]],"M"), DATEDIF(subscriptions[[#This Row],[signup_date]],TODAY(),"M"))</f>
        <v>31</v>
      </c>
      <c r="T68">
        <f ca="1">subscriptions[[#This Row],[monthly_revenue]]*subscriptions[[#This Row],[customer_lifetime]]</f>
        <v>9962.7800000000007</v>
      </c>
      <c r="U68" t="str">
        <f>IF(subscriptions[[#This Row],[feature_usage_pct]]&lt;30,"High Risk",IF(subscriptions[[#This Row],[feature_usage_pct]]&lt;60,"Medium Risk","Low Risk"))</f>
        <v>Medium Risk</v>
      </c>
      <c r="V68">
        <f ca="1">subscriptions[[#This Row],[CLV]]/200</f>
        <v>49.813900000000004</v>
      </c>
    </row>
    <row r="69" spans="1:22" x14ac:dyDescent="0.25">
      <c r="A69" t="s">
        <v>122</v>
      </c>
      <c r="B69" t="s">
        <v>18</v>
      </c>
      <c r="C69" t="s">
        <v>28</v>
      </c>
      <c r="D69" t="s">
        <v>62</v>
      </c>
      <c r="E69" s="2" t="s">
        <v>664</v>
      </c>
      <c r="F69">
        <v>1</v>
      </c>
      <c r="G69">
        <v>67.150000000000006</v>
      </c>
      <c r="H69" t="s">
        <v>43</v>
      </c>
      <c r="I69" t="s">
        <v>55</v>
      </c>
      <c r="J69" s="1">
        <v>45993</v>
      </c>
      <c r="K69" t="s">
        <v>26</v>
      </c>
      <c r="N69">
        <v>7</v>
      </c>
      <c r="O69">
        <v>3</v>
      </c>
      <c r="P69">
        <v>29</v>
      </c>
      <c r="Q69" t="s">
        <v>26</v>
      </c>
      <c r="R69">
        <f>IF(subscriptions[[#This Row],[churned]]="Yes",1,0)</f>
        <v>0</v>
      </c>
      <c r="S69">
        <f ca="1">IF(subscriptions[[#This Row],[churn_flag]]=1, DATEDIF(subscriptions[[#This Row],[signup_date]],subscriptions[[#This Row],[churn_date]],"M"), DATEDIF(subscriptions[[#This Row],[signup_date]],TODAY(),"M"))</f>
        <v>5</v>
      </c>
      <c r="T69">
        <f ca="1">subscriptions[[#This Row],[monthly_revenue]]*subscriptions[[#This Row],[customer_lifetime]]</f>
        <v>335.75</v>
      </c>
      <c r="U69" t="str">
        <f>IF(subscriptions[[#This Row],[feature_usage_pct]]&lt;30,"High Risk",IF(subscriptions[[#This Row],[feature_usage_pct]]&lt;60,"Medium Risk","Low Risk"))</f>
        <v>High Risk</v>
      </c>
      <c r="V69">
        <f ca="1">subscriptions[[#This Row],[CLV]]/200</f>
        <v>1.67875</v>
      </c>
    </row>
    <row r="70" spans="1:22" x14ac:dyDescent="0.25">
      <c r="A70" t="s">
        <v>123</v>
      </c>
      <c r="B70" t="s">
        <v>31</v>
      </c>
      <c r="C70" t="s">
        <v>28</v>
      </c>
      <c r="D70" t="s">
        <v>49</v>
      </c>
      <c r="E70" s="2" t="s">
        <v>664</v>
      </c>
      <c r="F70">
        <v>2</v>
      </c>
      <c r="G70">
        <v>28.35</v>
      </c>
      <c r="H70" t="s">
        <v>22</v>
      </c>
      <c r="I70" t="s">
        <v>38</v>
      </c>
      <c r="J70" s="1">
        <v>45137</v>
      </c>
      <c r="K70" t="s">
        <v>24</v>
      </c>
      <c r="L70" s="1">
        <v>45552</v>
      </c>
      <c r="M70" t="s">
        <v>82</v>
      </c>
      <c r="N70">
        <v>1</v>
      </c>
      <c r="O70">
        <v>2</v>
      </c>
      <c r="P70">
        <v>25</v>
      </c>
      <c r="Q70" t="s">
        <v>26</v>
      </c>
      <c r="R70">
        <f>IF(subscriptions[[#This Row],[churned]]="Yes",1,0)</f>
        <v>1</v>
      </c>
      <c r="S70">
        <f ca="1">IF(subscriptions[[#This Row],[churn_flag]]=1, DATEDIF(subscriptions[[#This Row],[signup_date]],subscriptions[[#This Row],[churn_date]],"M"), DATEDIF(subscriptions[[#This Row],[signup_date]],TODAY(),"M"))</f>
        <v>13</v>
      </c>
      <c r="T70">
        <f ca="1">subscriptions[[#This Row],[monthly_revenue]]*subscriptions[[#This Row],[customer_lifetime]]</f>
        <v>368.55</v>
      </c>
      <c r="U70" t="str">
        <f>IF(subscriptions[[#This Row],[feature_usage_pct]]&lt;30,"High Risk",IF(subscriptions[[#This Row],[feature_usage_pct]]&lt;60,"Medium Risk","Low Risk"))</f>
        <v>High Risk</v>
      </c>
      <c r="V70">
        <f ca="1">subscriptions[[#This Row],[CLV]]/200</f>
        <v>1.8427500000000001</v>
      </c>
    </row>
    <row r="71" spans="1:22" x14ac:dyDescent="0.25">
      <c r="A71" t="s">
        <v>124</v>
      </c>
      <c r="B71" t="s">
        <v>36</v>
      </c>
      <c r="C71" t="s">
        <v>19</v>
      </c>
      <c r="D71" t="s">
        <v>42</v>
      </c>
      <c r="E71" s="2" t="s">
        <v>21</v>
      </c>
      <c r="F71">
        <v>64</v>
      </c>
      <c r="G71">
        <v>2079.5500000000002</v>
      </c>
      <c r="H71" t="s">
        <v>22</v>
      </c>
      <c r="I71" t="s">
        <v>23</v>
      </c>
      <c r="J71" s="1">
        <v>44798</v>
      </c>
      <c r="K71" t="s">
        <v>24</v>
      </c>
      <c r="L71" s="1">
        <v>44800</v>
      </c>
      <c r="M71" t="s">
        <v>63</v>
      </c>
      <c r="N71">
        <v>3</v>
      </c>
      <c r="O71">
        <v>1</v>
      </c>
      <c r="P71">
        <v>28</v>
      </c>
      <c r="Q71" t="s">
        <v>26</v>
      </c>
      <c r="R71">
        <f>IF(subscriptions[[#This Row],[churned]]="Yes",1,0)</f>
        <v>1</v>
      </c>
      <c r="S71">
        <f ca="1">IF(subscriptions[[#This Row],[churn_flag]]=1, DATEDIF(subscriptions[[#This Row],[signup_date]],subscriptions[[#This Row],[churn_date]],"M"), DATEDIF(subscriptions[[#This Row],[signup_date]],TODAY(),"M"))</f>
        <v>0</v>
      </c>
      <c r="T71">
        <f ca="1">subscriptions[[#This Row],[monthly_revenue]]*subscriptions[[#This Row],[customer_lifetime]]</f>
        <v>0</v>
      </c>
      <c r="U71" t="str">
        <f>IF(subscriptions[[#This Row],[feature_usage_pct]]&lt;30,"High Risk",IF(subscriptions[[#This Row],[feature_usage_pct]]&lt;60,"Medium Risk","Low Risk"))</f>
        <v>High Risk</v>
      </c>
      <c r="V71">
        <f ca="1">subscriptions[[#This Row],[CLV]]/200</f>
        <v>0</v>
      </c>
    </row>
    <row r="72" spans="1:22" x14ac:dyDescent="0.25">
      <c r="A72" t="s">
        <v>125</v>
      </c>
      <c r="B72" t="s">
        <v>71</v>
      </c>
      <c r="C72" t="s">
        <v>19</v>
      </c>
      <c r="D72" t="s">
        <v>20</v>
      </c>
      <c r="E72" s="2" t="s">
        <v>45</v>
      </c>
      <c r="F72">
        <v>58</v>
      </c>
      <c r="G72">
        <v>4765.45</v>
      </c>
      <c r="H72" t="s">
        <v>22</v>
      </c>
      <c r="I72" t="s">
        <v>38</v>
      </c>
      <c r="J72" s="1">
        <v>44583</v>
      </c>
      <c r="K72" t="s">
        <v>26</v>
      </c>
      <c r="N72">
        <v>4</v>
      </c>
      <c r="O72">
        <v>10</v>
      </c>
      <c r="P72">
        <v>42</v>
      </c>
      <c r="Q72" t="s">
        <v>26</v>
      </c>
      <c r="R72">
        <f>IF(subscriptions[[#This Row],[churned]]="Yes",1,0)</f>
        <v>0</v>
      </c>
      <c r="S72">
        <f ca="1">IF(subscriptions[[#This Row],[churn_flag]]=1, DATEDIF(subscriptions[[#This Row],[signup_date]],subscriptions[[#This Row],[churn_date]],"M"), DATEDIF(subscriptions[[#This Row],[signup_date]],TODAY(),"M"))</f>
        <v>51</v>
      </c>
      <c r="T72">
        <f ca="1">subscriptions[[#This Row],[monthly_revenue]]*subscriptions[[#This Row],[customer_lifetime]]</f>
        <v>243037.94999999998</v>
      </c>
      <c r="U72" t="str">
        <f>IF(subscriptions[[#This Row],[feature_usage_pct]]&lt;30,"High Risk",IF(subscriptions[[#This Row],[feature_usage_pct]]&lt;60,"Medium Risk","Low Risk"))</f>
        <v>Medium Risk</v>
      </c>
      <c r="V72">
        <f ca="1">subscriptions[[#This Row],[CLV]]/200</f>
        <v>1215.18975</v>
      </c>
    </row>
    <row r="73" spans="1:22" x14ac:dyDescent="0.25">
      <c r="A73" t="s">
        <v>126</v>
      </c>
      <c r="B73" t="s">
        <v>31</v>
      </c>
      <c r="C73" t="s">
        <v>19</v>
      </c>
      <c r="D73" t="s">
        <v>79</v>
      </c>
      <c r="E73" s="2" t="s">
        <v>21</v>
      </c>
      <c r="F73">
        <v>31</v>
      </c>
      <c r="G73">
        <v>159.5</v>
      </c>
      <c r="H73" t="s">
        <v>22</v>
      </c>
      <c r="I73" t="s">
        <v>23</v>
      </c>
      <c r="J73" s="1">
        <v>45464</v>
      </c>
      <c r="K73" t="s">
        <v>26</v>
      </c>
      <c r="N73">
        <v>7</v>
      </c>
      <c r="O73">
        <v>10</v>
      </c>
      <c r="P73">
        <v>81</v>
      </c>
      <c r="Q73" t="s">
        <v>26</v>
      </c>
      <c r="R73">
        <f>IF(subscriptions[[#This Row],[churned]]="Yes",1,0)</f>
        <v>0</v>
      </c>
      <c r="S73">
        <f ca="1">IF(subscriptions[[#This Row],[churn_flag]]=1, DATEDIF(subscriptions[[#This Row],[signup_date]],subscriptions[[#This Row],[churn_date]],"M"), DATEDIF(subscriptions[[#This Row],[signup_date]],TODAY(),"M"))</f>
        <v>22</v>
      </c>
      <c r="T73">
        <f ca="1">subscriptions[[#This Row],[monthly_revenue]]*subscriptions[[#This Row],[customer_lifetime]]</f>
        <v>3509</v>
      </c>
      <c r="U73" t="str">
        <f>IF(subscriptions[[#This Row],[feature_usage_pct]]&lt;30,"High Risk",IF(subscriptions[[#This Row],[feature_usage_pct]]&lt;60,"Medium Risk","Low Risk"))</f>
        <v>Low Risk</v>
      </c>
      <c r="V73">
        <f ca="1">subscriptions[[#This Row],[CLV]]/200</f>
        <v>17.545000000000002</v>
      </c>
    </row>
    <row r="74" spans="1:22" x14ac:dyDescent="0.25">
      <c r="A74" t="s">
        <v>127</v>
      </c>
      <c r="B74" t="s">
        <v>18</v>
      </c>
      <c r="C74" t="s">
        <v>19</v>
      </c>
      <c r="D74" t="s">
        <v>52</v>
      </c>
      <c r="E74" s="2" t="s">
        <v>45</v>
      </c>
      <c r="F74">
        <v>106</v>
      </c>
      <c r="G74">
        <v>1323.25</v>
      </c>
      <c r="H74" t="s">
        <v>43</v>
      </c>
      <c r="I74" t="s">
        <v>23</v>
      </c>
      <c r="J74" s="1">
        <v>45797</v>
      </c>
      <c r="K74" t="s">
        <v>26</v>
      </c>
      <c r="N74">
        <v>7</v>
      </c>
      <c r="O74">
        <v>2</v>
      </c>
      <c r="P74">
        <v>87</v>
      </c>
      <c r="Q74" t="s">
        <v>24</v>
      </c>
      <c r="R74">
        <f>IF(subscriptions[[#This Row],[churned]]="Yes",1,0)</f>
        <v>0</v>
      </c>
      <c r="S74">
        <f ca="1">IF(subscriptions[[#This Row],[churn_flag]]=1, DATEDIF(subscriptions[[#This Row],[signup_date]],subscriptions[[#This Row],[churn_date]],"M"), DATEDIF(subscriptions[[#This Row],[signup_date]],TODAY(),"M"))</f>
        <v>11</v>
      </c>
      <c r="T74">
        <f ca="1">subscriptions[[#This Row],[monthly_revenue]]*subscriptions[[#This Row],[customer_lifetime]]</f>
        <v>14555.75</v>
      </c>
      <c r="U74" t="str">
        <f>IF(subscriptions[[#This Row],[feature_usage_pct]]&lt;30,"High Risk",IF(subscriptions[[#This Row],[feature_usage_pct]]&lt;60,"Medium Risk","Low Risk"))</f>
        <v>Low Risk</v>
      </c>
      <c r="V74">
        <f ca="1">subscriptions[[#This Row],[CLV]]/200</f>
        <v>72.778750000000002</v>
      </c>
    </row>
    <row r="75" spans="1:22" x14ac:dyDescent="0.25">
      <c r="A75" t="s">
        <v>128</v>
      </c>
      <c r="B75" t="s">
        <v>31</v>
      </c>
      <c r="C75" t="s">
        <v>19</v>
      </c>
      <c r="D75" t="s">
        <v>68</v>
      </c>
      <c r="E75" s="2" t="s">
        <v>21</v>
      </c>
      <c r="F75">
        <v>42</v>
      </c>
      <c r="G75">
        <v>207.35</v>
      </c>
      <c r="H75" t="s">
        <v>60</v>
      </c>
      <c r="I75" t="s">
        <v>23</v>
      </c>
      <c r="J75" s="1">
        <v>45274</v>
      </c>
      <c r="K75" t="s">
        <v>24</v>
      </c>
      <c r="L75" s="1">
        <v>45629</v>
      </c>
      <c r="M75" t="s">
        <v>56</v>
      </c>
      <c r="N75">
        <v>12</v>
      </c>
      <c r="O75">
        <v>3</v>
      </c>
      <c r="P75">
        <v>10</v>
      </c>
      <c r="Q75" t="s">
        <v>26</v>
      </c>
      <c r="R75">
        <f>IF(subscriptions[[#This Row],[churned]]="Yes",1,0)</f>
        <v>1</v>
      </c>
      <c r="S75">
        <f ca="1">IF(subscriptions[[#This Row],[churn_flag]]=1, DATEDIF(subscriptions[[#This Row],[signup_date]],subscriptions[[#This Row],[churn_date]],"M"), DATEDIF(subscriptions[[#This Row],[signup_date]],TODAY(),"M"))</f>
        <v>11</v>
      </c>
      <c r="T75">
        <f ca="1">subscriptions[[#This Row],[monthly_revenue]]*subscriptions[[#This Row],[customer_lifetime]]</f>
        <v>2280.85</v>
      </c>
      <c r="U75" t="str">
        <f>IF(subscriptions[[#This Row],[feature_usage_pct]]&lt;30,"High Risk",IF(subscriptions[[#This Row],[feature_usage_pct]]&lt;60,"Medium Risk","Low Risk"))</f>
        <v>High Risk</v>
      </c>
      <c r="V75">
        <f ca="1">subscriptions[[#This Row],[CLV]]/200</f>
        <v>11.404249999999999</v>
      </c>
    </row>
    <row r="76" spans="1:22" x14ac:dyDescent="0.25">
      <c r="A76" t="s">
        <v>129</v>
      </c>
      <c r="B76" t="s">
        <v>18</v>
      </c>
      <c r="C76" t="s">
        <v>19</v>
      </c>
      <c r="D76" t="s">
        <v>20</v>
      </c>
      <c r="E76" s="2" t="s">
        <v>664</v>
      </c>
      <c r="F76">
        <v>6</v>
      </c>
      <c r="G76">
        <v>138.25</v>
      </c>
      <c r="H76" t="s">
        <v>60</v>
      </c>
      <c r="I76" t="s">
        <v>23</v>
      </c>
      <c r="J76" s="1">
        <v>44925</v>
      </c>
      <c r="K76" t="s">
        <v>26</v>
      </c>
      <c r="N76">
        <v>5</v>
      </c>
      <c r="O76">
        <v>1</v>
      </c>
      <c r="P76">
        <v>49</v>
      </c>
      <c r="Q76" t="s">
        <v>26</v>
      </c>
      <c r="R76">
        <f>IF(subscriptions[[#This Row],[churned]]="Yes",1,0)</f>
        <v>0</v>
      </c>
      <c r="S76">
        <f ca="1">IF(subscriptions[[#This Row],[churn_flag]]=1, DATEDIF(subscriptions[[#This Row],[signup_date]],subscriptions[[#This Row],[churn_date]],"M"), DATEDIF(subscriptions[[#This Row],[signup_date]],TODAY(),"M"))</f>
        <v>40</v>
      </c>
      <c r="T76">
        <f ca="1">subscriptions[[#This Row],[monthly_revenue]]*subscriptions[[#This Row],[customer_lifetime]]</f>
        <v>5530</v>
      </c>
      <c r="U76" t="str">
        <f>IF(subscriptions[[#This Row],[feature_usage_pct]]&lt;30,"High Risk",IF(subscriptions[[#This Row],[feature_usage_pct]]&lt;60,"Medium Risk","Low Risk"))</f>
        <v>Medium Risk</v>
      </c>
      <c r="V76">
        <f ca="1">subscriptions[[#This Row],[CLV]]/200</f>
        <v>27.65</v>
      </c>
    </row>
    <row r="77" spans="1:22" x14ac:dyDescent="0.25">
      <c r="A77" t="s">
        <v>130</v>
      </c>
      <c r="B77" t="s">
        <v>18</v>
      </c>
      <c r="C77" t="s">
        <v>28</v>
      </c>
      <c r="D77" t="s">
        <v>52</v>
      </c>
      <c r="E77" s="2" t="s">
        <v>45</v>
      </c>
      <c r="F77">
        <v>56</v>
      </c>
      <c r="G77">
        <v>621.14</v>
      </c>
      <c r="H77" t="s">
        <v>43</v>
      </c>
      <c r="I77" t="s">
        <v>38</v>
      </c>
      <c r="J77" s="1">
        <v>45354</v>
      </c>
      <c r="K77" t="s">
        <v>26</v>
      </c>
      <c r="N77">
        <v>2</v>
      </c>
      <c r="O77">
        <v>5</v>
      </c>
      <c r="P77">
        <v>87</v>
      </c>
      <c r="Q77" t="s">
        <v>26</v>
      </c>
      <c r="R77">
        <f>IF(subscriptions[[#This Row],[churned]]="Yes",1,0)</f>
        <v>0</v>
      </c>
      <c r="S77">
        <f ca="1">IF(subscriptions[[#This Row],[churn_flag]]=1, DATEDIF(subscriptions[[#This Row],[signup_date]],subscriptions[[#This Row],[churn_date]],"M"), DATEDIF(subscriptions[[#This Row],[signup_date]],TODAY(),"M"))</f>
        <v>26</v>
      </c>
      <c r="T77">
        <f ca="1">subscriptions[[#This Row],[monthly_revenue]]*subscriptions[[#This Row],[customer_lifetime]]</f>
        <v>16149.64</v>
      </c>
      <c r="U77" t="str">
        <f>IF(subscriptions[[#This Row],[feature_usage_pct]]&lt;30,"High Risk",IF(subscriptions[[#This Row],[feature_usage_pct]]&lt;60,"Medium Risk","Low Risk"))</f>
        <v>Low Risk</v>
      </c>
      <c r="V77">
        <f ca="1">subscriptions[[#This Row],[CLV]]/200</f>
        <v>80.748199999999997</v>
      </c>
    </row>
    <row r="78" spans="1:22" x14ac:dyDescent="0.25">
      <c r="A78" t="s">
        <v>131</v>
      </c>
      <c r="B78" t="s">
        <v>71</v>
      </c>
      <c r="C78" t="s">
        <v>19</v>
      </c>
      <c r="D78" t="s">
        <v>49</v>
      </c>
      <c r="E78" s="2" t="s">
        <v>21</v>
      </c>
      <c r="F78">
        <v>52</v>
      </c>
      <c r="G78">
        <v>4316.3500000000004</v>
      </c>
      <c r="H78" t="s">
        <v>34</v>
      </c>
      <c r="I78" t="s">
        <v>38</v>
      </c>
      <c r="J78" s="1">
        <v>45047</v>
      </c>
      <c r="K78" t="s">
        <v>26</v>
      </c>
      <c r="N78">
        <v>4</v>
      </c>
      <c r="O78">
        <v>7</v>
      </c>
      <c r="P78">
        <v>88</v>
      </c>
      <c r="Q78" t="s">
        <v>26</v>
      </c>
      <c r="R78">
        <f>IF(subscriptions[[#This Row],[churned]]="Yes",1,0)</f>
        <v>0</v>
      </c>
      <c r="S78">
        <f ca="1">IF(subscriptions[[#This Row],[churn_flag]]=1, DATEDIF(subscriptions[[#This Row],[signup_date]],subscriptions[[#This Row],[churn_date]],"M"), DATEDIF(subscriptions[[#This Row],[signup_date]],TODAY(),"M"))</f>
        <v>36</v>
      </c>
      <c r="T78">
        <f ca="1">subscriptions[[#This Row],[monthly_revenue]]*subscriptions[[#This Row],[customer_lifetime]]</f>
        <v>155388.6</v>
      </c>
      <c r="U78" t="str">
        <f>IF(subscriptions[[#This Row],[feature_usage_pct]]&lt;30,"High Risk",IF(subscriptions[[#This Row],[feature_usage_pct]]&lt;60,"Medium Risk","Low Risk"))</f>
        <v>Low Risk</v>
      </c>
      <c r="V78">
        <f ca="1">subscriptions[[#This Row],[CLV]]/200</f>
        <v>776.94299999999998</v>
      </c>
    </row>
    <row r="79" spans="1:22" x14ac:dyDescent="0.25">
      <c r="A79" t="s">
        <v>132</v>
      </c>
      <c r="B79" t="s">
        <v>31</v>
      </c>
      <c r="C79" t="s">
        <v>28</v>
      </c>
      <c r="D79" t="s">
        <v>49</v>
      </c>
      <c r="E79" s="2" t="s">
        <v>21</v>
      </c>
      <c r="F79">
        <v>24</v>
      </c>
      <c r="G79">
        <v>109.69</v>
      </c>
      <c r="H79" t="s">
        <v>34</v>
      </c>
      <c r="I79" t="s">
        <v>38</v>
      </c>
      <c r="J79" s="1">
        <v>44978</v>
      </c>
      <c r="K79" t="s">
        <v>24</v>
      </c>
      <c r="L79" s="1">
        <v>45909</v>
      </c>
      <c r="M79" t="s">
        <v>53</v>
      </c>
      <c r="N79">
        <v>2</v>
      </c>
      <c r="O79">
        <v>4</v>
      </c>
      <c r="P79">
        <v>16</v>
      </c>
      <c r="Q79" t="s">
        <v>26</v>
      </c>
      <c r="R79">
        <f>IF(subscriptions[[#This Row],[churned]]="Yes",1,0)</f>
        <v>1</v>
      </c>
      <c r="S79">
        <f ca="1">IF(subscriptions[[#This Row],[churn_flag]]=1, DATEDIF(subscriptions[[#This Row],[signup_date]],subscriptions[[#This Row],[churn_date]],"M"), DATEDIF(subscriptions[[#This Row],[signup_date]],TODAY(),"M"))</f>
        <v>30</v>
      </c>
      <c r="T79">
        <f ca="1">subscriptions[[#This Row],[monthly_revenue]]*subscriptions[[#This Row],[customer_lifetime]]</f>
        <v>3290.7</v>
      </c>
      <c r="U79" t="str">
        <f>IF(subscriptions[[#This Row],[feature_usage_pct]]&lt;30,"High Risk",IF(subscriptions[[#This Row],[feature_usage_pct]]&lt;60,"Medium Risk","Low Risk"))</f>
        <v>High Risk</v>
      </c>
      <c r="V79">
        <f ca="1">subscriptions[[#This Row],[CLV]]/200</f>
        <v>16.453499999999998</v>
      </c>
    </row>
    <row r="80" spans="1:22" x14ac:dyDescent="0.25">
      <c r="A80" t="s">
        <v>133</v>
      </c>
      <c r="B80" t="s">
        <v>36</v>
      </c>
      <c r="C80" t="s">
        <v>19</v>
      </c>
      <c r="D80" t="s">
        <v>52</v>
      </c>
      <c r="E80" s="2" t="s">
        <v>21</v>
      </c>
      <c r="F80">
        <v>40</v>
      </c>
      <c r="G80">
        <v>1363.15</v>
      </c>
      <c r="H80" t="s">
        <v>98</v>
      </c>
      <c r="I80" t="s">
        <v>23</v>
      </c>
      <c r="J80" s="1">
        <v>45297</v>
      </c>
      <c r="K80" t="s">
        <v>26</v>
      </c>
      <c r="N80">
        <v>0</v>
      </c>
      <c r="O80">
        <v>4</v>
      </c>
      <c r="P80">
        <v>29</v>
      </c>
      <c r="Q80" t="s">
        <v>26</v>
      </c>
      <c r="R80">
        <f>IF(subscriptions[[#This Row],[churned]]="Yes",1,0)</f>
        <v>0</v>
      </c>
      <c r="S80">
        <f ca="1">IF(subscriptions[[#This Row],[churn_flag]]=1, DATEDIF(subscriptions[[#This Row],[signup_date]],subscriptions[[#This Row],[churn_date]],"M"), DATEDIF(subscriptions[[#This Row],[signup_date]],TODAY(),"M"))</f>
        <v>28</v>
      </c>
      <c r="T80">
        <f ca="1">subscriptions[[#This Row],[monthly_revenue]]*subscriptions[[#This Row],[customer_lifetime]]</f>
        <v>38168.200000000004</v>
      </c>
      <c r="U80" t="str">
        <f>IF(subscriptions[[#This Row],[feature_usage_pct]]&lt;30,"High Risk",IF(subscriptions[[#This Row],[feature_usage_pct]]&lt;60,"Medium Risk","Low Risk"))</f>
        <v>High Risk</v>
      </c>
      <c r="V80">
        <f ca="1">subscriptions[[#This Row],[CLV]]/200</f>
        <v>190.84100000000001</v>
      </c>
    </row>
    <row r="81" spans="1:22" x14ac:dyDescent="0.25">
      <c r="A81" t="s">
        <v>134</v>
      </c>
      <c r="B81" t="s">
        <v>31</v>
      </c>
      <c r="C81" t="s">
        <v>19</v>
      </c>
      <c r="D81" t="s">
        <v>52</v>
      </c>
      <c r="E81" s="2" t="s">
        <v>663</v>
      </c>
      <c r="F81">
        <v>5</v>
      </c>
      <c r="G81">
        <v>46.4</v>
      </c>
      <c r="H81" t="s">
        <v>22</v>
      </c>
      <c r="I81" t="s">
        <v>55</v>
      </c>
      <c r="J81" s="1">
        <v>45721</v>
      </c>
      <c r="K81" t="s">
        <v>24</v>
      </c>
      <c r="L81" s="1">
        <v>45753</v>
      </c>
      <c r="M81" t="s">
        <v>63</v>
      </c>
      <c r="N81">
        <v>0</v>
      </c>
      <c r="O81">
        <v>6</v>
      </c>
      <c r="P81">
        <v>20</v>
      </c>
      <c r="Q81" t="s">
        <v>26</v>
      </c>
      <c r="R81">
        <f>IF(subscriptions[[#This Row],[churned]]="Yes",1,0)</f>
        <v>1</v>
      </c>
      <c r="S81">
        <f ca="1">IF(subscriptions[[#This Row],[churn_flag]]=1, DATEDIF(subscriptions[[#This Row],[signup_date]],subscriptions[[#This Row],[churn_date]],"M"), DATEDIF(subscriptions[[#This Row],[signup_date]],TODAY(),"M"))</f>
        <v>1</v>
      </c>
      <c r="T81">
        <f ca="1">subscriptions[[#This Row],[monthly_revenue]]*subscriptions[[#This Row],[customer_lifetime]]</f>
        <v>46.4</v>
      </c>
      <c r="U81" t="str">
        <f>IF(subscriptions[[#This Row],[feature_usage_pct]]&lt;30,"High Risk",IF(subscriptions[[#This Row],[feature_usage_pct]]&lt;60,"Medium Risk","Low Risk"))</f>
        <v>High Risk</v>
      </c>
      <c r="V81">
        <f ca="1">subscriptions[[#This Row],[CLV]]/200</f>
        <v>0.23199999999999998</v>
      </c>
    </row>
    <row r="82" spans="1:22" x14ac:dyDescent="0.25">
      <c r="A82" t="s">
        <v>135</v>
      </c>
      <c r="B82" t="s">
        <v>36</v>
      </c>
      <c r="C82" t="s">
        <v>28</v>
      </c>
      <c r="D82" t="s">
        <v>32</v>
      </c>
      <c r="E82" s="2" t="s">
        <v>663</v>
      </c>
      <c r="F82">
        <v>24</v>
      </c>
      <c r="G82">
        <v>752.72</v>
      </c>
      <c r="H82" t="s">
        <v>22</v>
      </c>
      <c r="I82" t="s">
        <v>55</v>
      </c>
      <c r="J82" s="1">
        <v>45308</v>
      </c>
      <c r="K82" t="s">
        <v>26</v>
      </c>
      <c r="N82">
        <v>2</v>
      </c>
      <c r="O82">
        <v>6</v>
      </c>
      <c r="P82">
        <v>86</v>
      </c>
      <c r="Q82" t="s">
        <v>26</v>
      </c>
      <c r="R82">
        <f>IF(subscriptions[[#This Row],[churned]]="Yes",1,0)</f>
        <v>0</v>
      </c>
      <c r="S82">
        <f ca="1">IF(subscriptions[[#This Row],[churn_flag]]=1, DATEDIF(subscriptions[[#This Row],[signup_date]],subscriptions[[#This Row],[churn_date]],"M"), DATEDIF(subscriptions[[#This Row],[signup_date]],TODAY(),"M"))</f>
        <v>27</v>
      </c>
      <c r="T82">
        <f ca="1">subscriptions[[#This Row],[monthly_revenue]]*subscriptions[[#This Row],[customer_lifetime]]</f>
        <v>20323.440000000002</v>
      </c>
      <c r="U82" t="str">
        <f>IF(subscriptions[[#This Row],[feature_usage_pct]]&lt;30,"High Risk",IF(subscriptions[[#This Row],[feature_usage_pct]]&lt;60,"Medium Risk","Low Risk"))</f>
        <v>Low Risk</v>
      </c>
      <c r="V82">
        <f ca="1">subscriptions[[#This Row],[CLV]]/200</f>
        <v>101.61720000000001</v>
      </c>
    </row>
    <row r="83" spans="1:22" x14ac:dyDescent="0.25">
      <c r="A83" t="s">
        <v>136</v>
      </c>
      <c r="B83" t="s">
        <v>31</v>
      </c>
      <c r="C83" t="s">
        <v>28</v>
      </c>
      <c r="D83" t="s">
        <v>42</v>
      </c>
      <c r="E83" s="2" t="s">
        <v>664</v>
      </c>
      <c r="F83">
        <v>1</v>
      </c>
      <c r="G83">
        <v>24.65</v>
      </c>
      <c r="H83" t="s">
        <v>98</v>
      </c>
      <c r="I83" t="s">
        <v>38</v>
      </c>
      <c r="J83" s="1">
        <v>45462</v>
      </c>
      <c r="K83" t="s">
        <v>24</v>
      </c>
      <c r="L83" s="1">
        <v>45812</v>
      </c>
      <c r="M83" t="s">
        <v>53</v>
      </c>
      <c r="N83">
        <v>14</v>
      </c>
      <c r="O83">
        <v>2</v>
      </c>
      <c r="P83">
        <v>22</v>
      </c>
      <c r="Q83" t="s">
        <v>26</v>
      </c>
      <c r="R83">
        <f>IF(subscriptions[[#This Row],[churned]]="Yes",1,0)</f>
        <v>1</v>
      </c>
      <c r="S83">
        <f ca="1">IF(subscriptions[[#This Row],[churn_flag]]=1, DATEDIF(subscriptions[[#This Row],[signup_date]],subscriptions[[#This Row],[churn_date]],"M"), DATEDIF(subscriptions[[#This Row],[signup_date]],TODAY(),"M"))</f>
        <v>11</v>
      </c>
      <c r="T83">
        <f ca="1">subscriptions[[#This Row],[monthly_revenue]]*subscriptions[[#This Row],[customer_lifetime]]</f>
        <v>271.14999999999998</v>
      </c>
      <c r="U83" t="str">
        <f>IF(subscriptions[[#This Row],[feature_usage_pct]]&lt;30,"High Risk",IF(subscriptions[[#This Row],[feature_usage_pct]]&lt;60,"Medium Risk","Low Risk"))</f>
        <v>High Risk</v>
      </c>
      <c r="V83">
        <f ca="1">subscriptions[[#This Row],[CLV]]/200</f>
        <v>1.3557499999999998</v>
      </c>
    </row>
    <row r="84" spans="1:22" x14ac:dyDescent="0.25">
      <c r="A84" t="s">
        <v>137</v>
      </c>
      <c r="B84" t="s">
        <v>18</v>
      </c>
      <c r="C84" t="s">
        <v>19</v>
      </c>
      <c r="D84" t="s">
        <v>62</v>
      </c>
      <c r="E84" s="2" t="s">
        <v>664</v>
      </c>
      <c r="F84">
        <v>5</v>
      </c>
      <c r="G84">
        <v>126.4</v>
      </c>
      <c r="H84" t="s">
        <v>60</v>
      </c>
      <c r="I84" t="s">
        <v>55</v>
      </c>
      <c r="J84" s="1">
        <v>45912</v>
      </c>
      <c r="K84" t="s">
        <v>26</v>
      </c>
      <c r="N84">
        <v>6</v>
      </c>
      <c r="O84">
        <v>9</v>
      </c>
      <c r="P84">
        <v>56</v>
      </c>
      <c r="Q84" t="s">
        <v>26</v>
      </c>
      <c r="R84">
        <f>IF(subscriptions[[#This Row],[churned]]="Yes",1,0)</f>
        <v>0</v>
      </c>
      <c r="S84">
        <f ca="1">IF(subscriptions[[#This Row],[churn_flag]]=1, DATEDIF(subscriptions[[#This Row],[signup_date]],subscriptions[[#This Row],[churn_date]],"M"), DATEDIF(subscriptions[[#This Row],[signup_date]],TODAY(),"M"))</f>
        <v>8</v>
      </c>
      <c r="T84">
        <f ca="1">subscriptions[[#This Row],[monthly_revenue]]*subscriptions[[#This Row],[customer_lifetime]]</f>
        <v>1011.2</v>
      </c>
      <c r="U84" t="str">
        <f>IF(subscriptions[[#This Row],[feature_usage_pct]]&lt;30,"High Risk",IF(subscriptions[[#This Row],[feature_usage_pct]]&lt;60,"Medium Risk","Low Risk"))</f>
        <v>Medium Risk</v>
      </c>
      <c r="V84">
        <f ca="1">subscriptions[[#This Row],[CLV]]/200</f>
        <v>5.056</v>
      </c>
    </row>
    <row r="85" spans="1:22" x14ac:dyDescent="0.25">
      <c r="A85" t="s">
        <v>138</v>
      </c>
      <c r="B85" t="s">
        <v>36</v>
      </c>
      <c r="C85" t="s">
        <v>19</v>
      </c>
      <c r="D85" t="s">
        <v>37</v>
      </c>
      <c r="E85" s="2" t="s">
        <v>45</v>
      </c>
      <c r="F85">
        <v>71</v>
      </c>
      <c r="G85">
        <v>2288.5</v>
      </c>
      <c r="H85" t="s">
        <v>43</v>
      </c>
      <c r="I85" t="s">
        <v>38</v>
      </c>
      <c r="J85" s="1">
        <v>44947</v>
      </c>
      <c r="K85" t="s">
        <v>24</v>
      </c>
      <c r="L85" s="1">
        <v>45308</v>
      </c>
      <c r="M85" t="s">
        <v>82</v>
      </c>
      <c r="N85">
        <v>6</v>
      </c>
      <c r="O85">
        <v>5</v>
      </c>
      <c r="P85">
        <v>29</v>
      </c>
      <c r="Q85" t="s">
        <v>26</v>
      </c>
      <c r="R85">
        <f>IF(subscriptions[[#This Row],[churned]]="Yes",1,0)</f>
        <v>1</v>
      </c>
      <c r="S85">
        <f ca="1">IF(subscriptions[[#This Row],[churn_flag]]=1, DATEDIF(subscriptions[[#This Row],[signup_date]],subscriptions[[#This Row],[churn_date]],"M"), DATEDIF(subscriptions[[#This Row],[signup_date]],TODAY(),"M"))</f>
        <v>11</v>
      </c>
      <c r="T85">
        <f ca="1">subscriptions[[#This Row],[monthly_revenue]]*subscriptions[[#This Row],[customer_lifetime]]</f>
        <v>25173.5</v>
      </c>
      <c r="U85" t="str">
        <f>IF(subscriptions[[#This Row],[feature_usage_pct]]&lt;30,"High Risk",IF(subscriptions[[#This Row],[feature_usage_pct]]&lt;60,"Medium Risk","Low Risk"))</f>
        <v>High Risk</v>
      </c>
      <c r="V85">
        <f ca="1">subscriptions[[#This Row],[CLV]]/200</f>
        <v>125.86750000000001</v>
      </c>
    </row>
    <row r="86" spans="1:22" x14ac:dyDescent="0.25">
      <c r="A86" t="s">
        <v>139</v>
      </c>
      <c r="B86" t="s">
        <v>31</v>
      </c>
      <c r="C86" t="s">
        <v>19</v>
      </c>
      <c r="D86" t="s">
        <v>37</v>
      </c>
      <c r="E86" s="2" t="s">
        <v>663</v>
      </c>
      <c r="F86">
        <v>21</v>
      </c>
      <c r="G86">
        <v>116</v>
      </c>
      <c r="H86" t="s">
        <v>34</v>
      </c>
      <c r="I86" t="s">
        <v>69</v>
      </c>
      <c r="J86" s="1">
        <v>45661</v>
      </c>
      <c r="K86" t="s">
        <v>24</v>
      </c>
      <c r="L86" s="1">
        <v>45730</v>
      </c>
      <c r="M86" t="s">
        <v>56</v>
      </c>
      <c r="N86">
        <v>13</v>
      </c>
      <c r="O86">
        <v>2</v>
      </c>
      <c r="P86">
        <v>42</v>
      </c>
      <c r="Q86" t="s">
        <v>26</v>
      </c>
      <c r="R86">
        <f>IF(subscriptions[[#This Row],[churned]]="Yes",1,0)</f>
        <v>1</v>
      </c>
      <c r="S86">
        <f ca="1">IF(subscriptions[[#This Row],[churn_flag]]=1, DATEDIF(subscriptions[[#This Row],[signup_date]],subscriptions[[#This Row],[churn_date]],"M"), DATEDIF(subscriptions[[#This Row],[signup_date]],TODAY(),"M"))</f>
        <v>2</v>
      </c>
      <c r="T86">
        <f ca="1">subscriptions[[#This Row],[monthly_revenue]]*subscriptions[[#This Row],[customer_lifetime]]</f>
        <v>232</v>
      </c>
      <c r="U86" t="str">
        <f>IF(subscriptions[[#This Row],[feature_usage_pct]]&lt;30,"High Risk",IF(subscriptions[[#This Row],[feature_usage_pct]]&lt;60,"Medium Risk","Low Risk"))</f>
        <v>Medium Risk</v>
      </c>
      <c r="V86">
        <f ca="1">subscriptions[[#This Row],[CLV]]/200</f>
        <v>1.1599999999999999</v>
      </c>
    </row>
    <row r="87" spans="1:22" x14ac:dyDescent="0.25">
      <c r="A87" t="s">
        <v>140</v>
      </c>
      <c r="B87" t="s">
        <v>36</v>
      </c>
      <c r="C87" t="s">
        <v>19</v>
      </c>
      <c r="D87" t="s">
        <v>42</v>
      </c>
      <c r="E87" s="2" t="s">
        <v>663</v>
      </c>
      <c r="F87">
        <v>27</v>
      </c>
      <c r="G87">
        <v>975.1</v>
      </c>
      <c r="H87" t="s">
        <v>34</v>
      </c>
      <c r="I87" t="s">
        <v>38</v>
      </c>
      <c r="J87" s="1">
        <v>45479</v>
      </c>
      <c r="K87" t="s">
        <v>26</v>
      </c>
      <c r="N87">
        <v>9</v>
      </c>
      <c r="O87">
        <v>7</v>
      </c>
      <c r="P87">
        <v>35</v>
      </c>
      <c r="Q87" t="s">
        <v>26</v>
      </c>
      <c r="R87">
        <f>IF(subscriptions[[#This Row],[churned]]="Yes",1,0)</f>
        <v>0</v>
      </c>
      <c r="S87">
        <f ca="1">IF(subscriptions[[#This Row],[churn_flag]]=1, DATEDIF(subscriptions[[#This Row],[signup_date]],subscriptions[[#This Row],[churn_date]],"M"), DATEDIF(subscriptions[[#This Row],[signup_date]],TODAY(),"M"))</f>
        <v>22</v>
      </c>
      <c r="T87">
        <f ca="1">subscriptions[[#This Row],[monthly_revenue]]*subscriptions[[#This Row],[customer_lifetime]]</f>
        <v>21452.2</v>
      </c>
      <c r="U87" t="str">
        <f>IF(subscriptions[[#This Row],[feature_usage_pct]]&lt;30,"High Risk",IF(subscriptions[[#This Row],[feature_usage_pct]]&lt;60,"Medium Risk","Low Risk"))</f>
        <v>Medium Risk</v>
      </c>
      <c r="V87">
        <f ca="1">subscriptions[[#This Row],[CLV]]/200</f>
        <v>107.26100000000001</v>
      </c>
    </row>
    <row r="88" spans="1:22" x14ac:dyDescent="0.25">
      <c r="A88" t="s">
        <v>141</v>
      </c>
      <c r="B88" t="s">
        <v>18</v>
      </c>
      <c r="C88" t="s">
        <v>28</v>
      </c>
      <c r="D88" t="s">
        <v>62</v>
      </c>
      <c r="E88" s="2" t="s">
        <v>21</v>
      </c>
      <c r="F88">
        <v>17</v>
      </c>
      <c r="G88">
        <v>228.31</v>
      </c>
      <c r="H88" t="s">
        <v>29</v>
      </c>
      <c r="I88" t="s">
        <v>38</v>
      </c>
      <c r="J88" s="1">
        <v>45421</v>
      </c>
      <c r="K88" t="s">
        <v>26</v>
      </c>
      <c r="N88">
        <v>2</v>
      </c>
      <c r="O88">
        <v>4</v>
      </c>
      <c r="P88">
        <v>88</v>
      </c>
      <c r="Q88" t="s">
        <v>26</v>
      </c>
      <c r="R88">
        <f>IF(subscriptions[[#This Row],[churned]]="Yes",1,0)</f>
        <v>0</v>
      </c>
      <c r="S88">
        <f ca="1">IF(subscriptions[[#This Row],[churn_flag]]=1, DATEDIF(subscriptions[[#This Row],[signup_date]],subscriptions[[#This Row],[churn_date]],"M"), DATEDIF(subscriptions[[#This Row],[signup_date]],TODAY(),"M"))</f>
        <v>24</v>
      </c>
      <c r="T88">
        <f ca="1">subscriptions[[#This Row],[monthly_revenue]]*subscriptions[[#This Row],[customer_lifetime]]</f>
        <v>5479.4400000000005</v>
      </c>
      <c r="U88" t="str">
        <f>IF(subscriptions[[#This Row],[feature_usage_pct]]&lt;30,"High Risk",IF(subscriptions[[#This Row],[feature_usage_pct]]&lt;60,"Medium Risk","Low Risk"))</f>
        <v>Low Risk</v>
      </c>
      <c r="V88">
        <f ca="1">subscriptions[[#This Row],[CLV]]/200</f>
        <v>27.397200000000002</v>
      </c>
    </row>
    <row r="89" spans="1:22" x14ac:dyDescent="0.25">
      <c r="A89" t="s">
        <v>142</v>
      </c>
      <c r="B89" t="s">
        <v>31</v>
      </c>
      <c r="C89" t="s">
        <v>19</v>
      </c>
      <c r="D89" t="s">
        <v>79</v>
      </c>
      <c r="E89" s="2" t="s">
        <v>21</v>
      </c>
      <c r="F89">
        <v>76</v>
      </c>
      <c r="G89">
        <v>355.25</v>
      </c>
      <c r="H89" t="s">
        <v>43</v>
      </c>
      <c r="I89" t="s">
        <v>55</v>
      </c>
      <c r="J89" s="1">
        <v>45641</v>
      </c>
      <c r="K89" t="s">
        <v>24</v>
      </c>
      <c r="L89" s="1">
        <v>45806</v>
      </c>
      <c r="M89" t="s">
        <v>53</v>
      </c>
      <c r="N89">
        <v>7</v>
      </c>
      <c r="O89">
        <v>3</v>
      </c>
      <c r="P89">
        <v>20</v>
      </c>
      <c r="Q89" t="s">
        <v>26</v>
      </c>
      <c r="R89">
        <f>IF(subscriptions[[#This Row],[churned]]="Yes",1,0)</f>
        <v>1</v>
      </c>
      <c r="S89">
        <f ca="1">IF(subscriptions[[#This Row],[churn_flag]]=1, DATEDIF(subscriptions[[#This Row],[signup_date]],subscriptions[[#This Row],[churn_date]],"M"), DATEDIF(subscriptions[[#This Row],[signup_date]],TODAY(),"M"))</f>
        <v>5</v>
      </c>
      <c r="T89">
        <f ca="1">subscriptions[[#This Row],[monthly_revenue]]*subscriptions[[#This Row],[customer_lifetime]]</f>
        <v>1776.25</v>
      </c>
      <c r="U89" t="str">
        <f>IF(subscriptions[[#This Row],[feature_usage_pct]]&lt;30,"High Risk",IF(subscriptions[[#This Row],[feature_usage_pct]]&lt;60,"Medium Risk","Low Risk"))</f>
        <v>High Risk</v>
      </c>
      <c r="V89">
        <f ca="1">subscriptions[[#This Row],[CLV]]/200</f>
        <v>8.8812499999999996</v>
      </c>
    </row>
    <row r="90" spans="1:22" x14ac:dyDescent="0.25">
      <c r="A90" t="s">
        <v>143</v>
      </c>
      <c r="B90" t="s">
        <v>18</v>
      </c>
      <c r="C90" t="s">
        <v>28</v>
      </c>
      <c r="D90" t="s">
        <v>52</v>
      </c>
      <c r="E90" s="2" t="s">
        <v>45</v>
      </c>
      <c r="F90">
        <v>75</v>
      </c>
      <c r="G90">
        <v>812.51</v>
      </c>
      <c r="H90" t="s">
        <v>22</v>
      </c>
      <c r="I90" t="s">
        <v>55</v>
      </c>
      <c r="J90" s="1">
        <v>44886</v>
      </c>
      <c r="K90" t="s">
        <v>24</v>
      </c>
      <c r="L90" s="1">
        <v>45200</v>
      </c>
      <c r="M90" t="s">
        <v>46</v>
      </c>
      <c r="N90">
        <v>12</v>
      </c>
      <c r="O90">
        <v>6</v>
      </c>
      <c r="P90">
        <v>20</v>
      </c>
      <c r="Q90" t="s">
        <v>26</v>
      </c>
      <c r="R90">
        <f>IF(subscriptions[[#This Row],[churned]]="Yes",1,0)</f>
        <v>1</v>
      </c>
      <c r="S90">
        <f ca="1">IF(subscriptions[[#This Row],[churn_flag]]=1, DATEDIF(subscriptions[[#This Row],[signup_date]],subscriptions[[#This Row],[churn_date]],"M"), DATEDIF(subscriptions[[#This Row],[signup_date]],TODAY(),"M"))</f>
        <v>10</v>
      </c>
      <c r="T90">
        <f ca="1">subscriptions[[#This Row],[monthly_revenue]]*subscriptions[[#This Row],[customer_lifetime]]</f>
        <v>8125.1</v>
      </c>
      <c r="U90" t="str">
        <f>IF(subscriptions[[#This Row],[feature_usage_pct]]&lt;30,"High Risk",IF(subscriptions[[#This Row],[feature_usage_pct]]&lt;60,"Medium Risk","Low Risk"))</f>
        <v>High Risk</v>
      </c>
      <c r="V90">
        <f ca="1">subscriptions[[#This Row],[CLV]]/200</f>
        <v>40.625500000000002</v>
      </c>
    </row>
    <row r="91" spans="1:22" x14ac:dyDescent="0.25">
      <c r="A91" t="s">
        <v>144</v>
      </c>
      <c r="B91" t="s">
        <v>36</v>
      </c>
      <c r="C91" t="s">
        <v>28</v>
      </c>
      <c r="D91" t="s">
        <v>52</v>
      </c>
      <c r="E91" s="2" t="s">
        <v>21</v>
      </c>
      <c r="F91">
        <v>67</v>
      </c>
      <c r="G91">
        <v>1843.73</v>
      </c>
      <c r="H91" t="s">
        <v>60</v>
      </c>
      <c r="I91" t="s">
        <v>38</v>
      </c>
      <c r="J91" s="1">
        <v>44648</v>
      </c>
      <c r="K91" t="s">
        <v>24</v>
      </c>
      <c r="L91" s="1">
        <v>44885</v>
      </c>
      <c r="M91" t="s">
        <v>50</v>
      </c>
      <c r="N91">
        <v>7</v>
      </c>
      <c r="O91">
        <v>1</v>
      </c>
      <c r="P91">
        <v>36</v>
      </c>
      <c r="Q91" t="s">
        <v>26</v>
      </c>
      <c r="R91">
        <f>IF(subscriptions[[#This Row],[churned]]="Yes",1,0)</f>
        <v>1</v>
      </c>
      <c r="S91">
        <f ca="1">IF(subscriptions[[#This Row],[churn_flag]]=1, DATEDIF(subscriptions[[#This Row],[signup_date]],subscriptions[[#This Row],[churn_date]],"M"), DATEDIF(subscriptions[[#This Row],[signup_date]],TODAY(),"M"))</f>
        <v>7</v>
      </c>
      <c r="T91">
        <f ca="1">subscriptions[[#This Row],[monthly_revenue]]*subscriptions[[#This Row],[customer_lifetime]]</f>
        <v>12906.11</v>
      </c>
      <c r="U91" t="str">
        <f>IF(subscriptions[[#This Row],[feature_usage_pct]]&lt;30,"High Risk",IF(subscriptions[[#This Row],[feature_usage_pct]]&lt;60,"Medium Risk","Low Risk"))</f>
        <v>Medium Risk</v>
      </c>
      <c r="V91">
        <f ca="1">subscriptions[[#This Row],[CLV]]/200</f>
        <v>64.530550000000005</v>
      </c>
    </row>
    <row r="92" spans="1:22" x14ac:dyDescent="0.25">
      <c r="A92" t="s">
        <v>145</v>
      </c>
      <c r="B92" t="s">
        <v>71</v>
      </c>
      <c r="C92" t="s">
        <v>28</v>
      </c>
      <c r="D92" t="s">
        <v>49</v>
      </c>
      <c r="E92" s="2" t="s">
        <v>663</v>
      </c>
      <c r="F92">
        <v>20</v>
      </c>
      <c r="G92">
        <v>1632.98</v>
      </c>
      <c r="H92" t="s">
        <v>43</v>
      </c>
      <c r="I92" t="s">
        <v>23</v>
      </c>
      <c r="J92" s="1">
        <v>45596</v>
      </c>
      <c r="K92" t="s">
        <v>24</v>
      </c>
      <c r="L92" s="1">
        <v>45710</v>
      </c>
      <c r="M92" t="s">
        <v>56</v>
      </c>
      <c r="N92">
        <v>13</v>
      </c>
      <c r="O92">
        <v>2</v>
      </c>
      <c r="P92">
        <v>42</v>
      </c>
      <c r="Q92" t="s">
        <v>26</v>
      </c>
      <c r="R92">
        <f>IF(subscriptions[[#This Row],[churned]]="Yes",1,0)</f>
        <v>1</v>
      </c>
      <c r="S92">
        <f ca="1">IF(subscriptions[[#This Row],[churn_flag]]=1, DATEDIF(subscriptions[[#This Row],[signup_date]],subscriptions[[#This Row],[churn_date]],"M"), DATEDIF(subscriptions[[#This Row],[signup_date]],TODAY(),"M"))</f>
        <v>3</v>
      </c>
      <c r="T92">
        <f ca="1">subscriptions[[#This Row],[monthly_revenue]]*subscriptions[[#This Row],[customer_lifetime]]</f>
        <v>4898.9400000000005</v>
      </c>
      <c r="U92" t="str">
        <f>IF(subscriptions[[#This Row],[feature_usage_pct]]&lt;30,"High Risk",IF(subscriptions[[#This Row],[feature_usage_pct]]&lt;60,"Medium Risk","Low Risk"))</f>
        <v>Medium Risk</v>
      </c>
      <c r="V92">
        <f ca="1">subscriptions[[#This Row],[CLV]]/200</f>
        <v>24.494700000000002</v>
      </c>
    </row>
    <row r="93" spans="1:22" x14ac:dyDescent="0.25">
      <c r="A93" t="s">
        <v>146</v>
      </c>
      <c r="B93" t="s">
        <v>31</v>
      </c>
      <c r="C93" t="s">
        <v>19</v>
      </c>
      <c r="D93" t="s">
        <v>79</v>
      </c>
      <c r="E93" s="2" t="s">
        <v>664</v>
      </c>
      <c r="F93">
        <v>5</v>
      </c>
      <c r="G93">
        <v>46.4</v>
      </c>
      <c r="H93" t="s">
        <v>34</v>
      </c>
      <c r="I93" t="s">
        <v>55</v>
      </c>
      <c r="J93" s="1">
        <v>45732</v>
      </c>
      <c r="K93" t="s">
        <v>26</v>
      </c>
      <c r="N93">
        <v>7</v>
      </c>
      <c r="O93">
        <v>7</v>
      </c>
      <c r="P93">
        <v>41</v>
      </c>
      <c r="Q93" t="s">
        <v>26</v>
      </c>
      <c r="R93">
        <f>IF(subscriptions[[#This Row],[churned]]="Yes",1,0)</f>
        <v>0</v>
      </c>
      <c r="S93">
        <f ca="1">IF(subscriptions[[#This Row],[churn_flag]]=1, DATEDIF(subscriptions[[#This Row],[signup_date]],subscriptions[[#This Row],[churn_date]],"M"), DATEDIF(subscriptions[[#This Row],[signup_date]],TODAY(),"M"))</f>
        <v>13</v>
      </c>
      <c r="T93">
        <f ca="1">subscriptions[[#This Row],[monthly_revenue]]*subscriptions[[#This Row],[customer_lifetime]]</f>
        <v>603.19999999999993</v>
      </c>
      <c r="U93" t="str">
        <f>IF(subscriptions[[#This Row],[feature_usage_pct]]&lt;30,"High Risk",IF(subscriptions[[#This Row],[feature_usage_pct]]&lt;60,"Medium Risk","Low Risk"))</f>
        <v>Medium Risk</v>
      </c>
      <c r="V93">
        <f ca="1">subscriptions[[#This Row],[CLV]]/200</f>
        <v>3.0159999999999996</v>
      </c>
    </row>
    <row r="94" spans="1:22" x14ac:dyDescent="0.25">
      <c r="A94" t="s">
        <v>147</v>
      </c>
      <c r="B94" t="s">
        <v>31</v>
      </c>
      <c r="C94" t="s">
        <v>19</v>
      </c>
      <c r="D94" t="s">
        <v>40</v>
      </c>
      <c r="E94" s="2" t="s">
        <v>664</v>
      </c>
      <c r="F94">
        <v>7</v>
      </c>
      <c r="G94">
        <v>55.1</v>
      </c>
      <c r="H94" t="s">
        <v>29</v>
      </c>
      <c r="I94" t="s">
        <v>23</v>
      </c>
      <c r="J94" s="1">
        <v>45960</v>
      </c>
      <c r="K94" t="s">
        <v>26</v>
      </c>
      <c r="N94">
        <v>2</v>
      </c>
      <c r="O94">
        <v>10</v>
      </c>
      <c r="P94">
        <v>63</v>
      </c>
      <c r="Q94" t="s">
        <v>26</v>
      </c>
      <c r="R94">
        <f>IF(subscriptions[[#This Row],[churned]]="Yes",1,0)</f>
        <v>0</v>
      </c>
      <c r="S94">
        <f ca="1">IF(subscriptions[[#This Row],[churn_flag]]=1, DATEDIF(subscriptions[[#This Row],[signup_date]],subscriptions[[#This Row],[churn_date]],"M"), DATEDIF(subscriptions[[#This Row],[signup_date]],TODAY(),"M"))</f>
        <v>6</v>
      </c>
      <c r="T94">
        <f ca="1">subscriptions[[#This Row],[monthly_revenue]]*subscriptions[[#This Row],[customer_lifetime]]</f>
        <v>330.6</v>
      </c>
      <c r="U94" t="str">
        <f>IF(subscriptions[[#This Row],[feature_usage_pct]]&lt;30,"High Risk",IF(subscriptions[[#This Row],[feature_usage_pct]]&lt;60,"Medium Risk","Low Risk"))</f>
        <v>Low Risk</v>
      </c>
      <c r="V94">
        <f ca="1">subscriptions[[#This Row],[CLV]]/200</f>
        <v>1.653</v>
      </c>
    </row>
    <row r="95" spans="1:22" x14ac:dyDescent="0.25">
      <c r="A95" t="s">
        <v>148</v>
      </c>
      <c r="B95" t="s">
        <v>36</v>
      </c>
      <c r="C95" t="s">
        <v>19</v>
      </c>
      <c r="D95" t="s">
        <v>62</v>
      </c>
      <c r="E95" s="2" t="s">
        <v>33</v>
      </c>
      <c r="F95">
        <v>234</v>
      </c>
      <c r="G95">
        <v>7154.05</v>
      </c>
      <c r="H95" t="s">
        <v>34</v>
      </c>
      <c r="I95" t="s">
        <v>23</v>
      </c>
      <c r="J95" s="1">
        <v>44771</v>
      </c>
      <c r="K95" t="s">
        <v>24</v>
      </c>
      <c r="L95" s="1">
        <v>45930</v>
      </c>
      <c r="M95" t="s">
        <v>46</v>
      </c>
      <c r="N95">
        <v>4</v>
      </c>
      <c r="O95">
        <v>6</v>
      </c>
      <c r="P95">
        <v>14</v>
      </c>
      <c r="Q95" t="s">
        <v>26</v>
      </c>
      <c r="R95">
        <f>IF(subscriptions[[#This Row],[churned]]="Yes",1,0)</f>
        <v>1</v>
      </c>
      <c r="S95">
        <f ca="1">IF(subscriptions[[#This Row],[churn_flag]]=1, DATEDIF(subscriptions[[#This Row],[signup_date]],subscriptions[[#This Row],[churn_date]],"M"), DATEDIF(subscriptions[[#This Row],[signup_date]],TODAY(),"M"))</f>
        <v>38</v>
      </c>
      <c r="T95">
        <f ca="1">subscriptions[[#This Row],[monthly_revenue]]*subscriptions[[#This Row],[customer_lifetime]]</f>
        <v>271853.90000000002</v>
      </c>
      <c r="U95" t="str">
        <f>IF(subscriptions[[#This Row],[feature_usage_pct]]&lt;30,"High Risk",IF(subscriptions[[#This Row],[feature_usage_pct]]&lt;60,"Medium Risk","Low Risk"))</f>
        <v>High Risk</v>
      </c>
      <c r="V95">
        <f ca="1">subscriptions[[#This Row],[CLV]]/200</f>
        <v>1359.2695000000001</v>
      </c>
    </row>
    <row r="96" spans="1:22" x14ac:dyDescent="0.25">
      <c r="A96" t="s">
        <v>149</v>
      </c>
      <c r="B96" t="s">
        <v>18</v>
      </c>
      <c r="C96" t="s">
        <v>19</v>
      </c>
      <c r="D96" t="s">
        <v>32</v>
      </c>
      <c r="E96" s="2" t="s">
        <v>663</v>
      </c>
      <c r="F96">
        <v>14</v>
      </c>
      <c r="G96">
        <v>233.05</v>
      </c>
      <c r="H96" t="s">
        <v>60</v>
      </c>
      <c r="I96" t="s">
        <v>23</v>
      </c>
      <c r="J96" s="1">
        <v>44859</v>
      </c>
      <c r="K96" t="s">
        <v>24</v>
      </c>
      <c r="L96" s="1">
        <v>45025</v>
      </c>
      <c r="M96" t="s">
        <v>53</v>
      </c>
      <c r="N96">
        <v>5</v>
      </c>
      <c r="O96">
        <v>6</v>
      </c>
      <c r="P96">
        <v>11</v>
      </c>
      <c r="Q96" t="s">
        <v>26</v>
      </c>
      <c r="R96">
        <f>IF(subscriptions[[#This Row],[churned]]="Yes",1,0)</f>
        <v>1</v>
      </c>
      <c r="S96">
        <f ca="1">IF(subscriptions[[#This Row],[churn_flag]]=1, DATEDIF(subscriptions[[#This Row],[signup_date]],subscriptions[[#This Row],[churn_date]],"M"), DATEDIF(subscriptions[[#This Row],[signup_date]],TODAY(),"M"))</f>
        <v>5</v>
      </c>
      <c r="T96">
        <f ca="1">subscriptions[[#This Row],[monthly_revenue]]*subscriptions[[#This Row],[customer_lifetime]]</f>
        <v>1165.25</v>
      </c>
      <c r="U96" t="str">
        <f>IF(subscriptions[[#This Row],[feature_usage_pct]]&lt;30,"High Risk",IF(subscriptions[[#This Row],[feature_usage_pct]]&lt;60,"Medium Risk","Low Risk"))</f>
        <v>High Risk</v>
      </c>
      <c r="V96">
        <f ca="1">subscriptions[[#This Row],[CLV]]/200</f>
        <v>5.8262499999999999</v>
      </c>
    </row>
    <row r="97" spans="1:22" x14ac:dyDescent="0.25">
      <c r="A97" t="s">
        <v>150</v>
      </c>
      <c r="B97" t="s">
        <v>31</v>
      </c>
      <c r="C97" t="s">
        <v>19</v>
      </c>
      <c r="D97" t="s">
        <v>68</v>
      </c>
      <c r="E97" s="2" t="s">
        <v>663</v>
      </c>
      <c r="F97">
        <v>15</v>
      </c>
      <c r="G97">
        <v>89.9</v>
      </c>
      <c r="H97" t="s">
        <v>29</v>
      </c>
      <c r="I97" t="s">
        <v>23</v>
      </c>
      <c r="J97" s="1">
        <v>45169</v>
      </c>
      <c r="K97" t="s">
        <v>24</v>
      </c>
      <c r="L97" s="1">
        <v>45195</v>
      </c>
      <c r="M97" t="s">
        <v>25</v>
      </c>
      <c r="N97">
        <v>12</v>
      </c>
      <c r="O97">
        <v>1</v>
      </c>
      <c r="P97">
        <v>12</v>
      </c>
      <c r="Q97" t="s">
        <v>26</v>
      </c>
      <c r="R97">
        <f>IF(subscriptions[[#This Row],[churned]]="Yes",1,0)</f>
        <v>1</v>
      </c>
      <c r="S97">
        <f ca="1">IF(subscriptions[[#This Row],[churn_flag]]=1, DATEDIF(subscriptions[[#This Row],[signup_date]],subscriptions[[#This Row],[churn_date]],"M"), DATEDIF(subscriptions[[#This Row],[signup_date]],TODAY(),"M"))</f>
        <v>0</v>
      </c>
      <c r="T97">
        <f ca="1">subscriptions[[#This Row],[monthly_revenue]]*subscriptions[[#This Row],[customer_lifetime]]</f>
        <v>0</v>
      </c>
      <c r="U97" t="str">
        <f>IF(subscriptions[[#This Row],[feature_usage_pct]]&lt;30,"High Risk",IF(subscriptions[[#This Row],[feature_usage_pct]]&lt;60,"Medium Risk","Low Risk"))</f>
        <v>High Risk</v>
      </c>
      <c r="V97">
        <f ca="1">subscriptions[[#This Row],[CLV]]/200</f>
        <v>0</v>
      </c>
    </row>
    <row r="98" spans="1:22" x14ac:dyDescent="0.25">
      <c r="A98" t="s">
        <v>151</v>
      </c>
      <c r="B98" t="s">
        <v>71</v>
      </c>
      <c r="C98" t="s">
        <v>19</v>
      </c>
      <c r="D98" t="s">
        <v>62</v>
      </c>
      <c r="E98" s="2" t="s">
        <v>21</v>
      </c>
      <c r="F98">
        <v>31</v>
      </c>
      <c r="G98">
        <v>2744.5</v>
      </c>
      <c r="H98" t="s">
        <v>22</v>
      </c>
      <c r="I98" t="s">
        <v>23</v>
      </c>
      <c r="J98" s="1">
        <v>45215</v>
      </c>
      <c r="K98" t="s">
        <v>26</v>
      </c>
      <c r="N98">
        <v>1</v>
      </c>
      <c r="O98">
        <v>1</v>
      </c>
      <c r="P98">
        <v>22</v>
      </c>
      <c r="Q98" t="s">
        <v>26</v>
      </c>
      <c r="R98">
        <f>IF(subscriptions[[#This Row],[churned]]="Yes",1,0)</f>
        <v>0</v>
      </c>
      <c r="S98">
        <f ca="1">IF(subscriptions[[#This Row],[churn_flag]]=1, DATEDIF(subscriptions[[#This Row],[signup_date]],subscriptions[[#This Row],[churn_date]],"M"), DATEDIF(subscriptions[[#This Row],[signup_date]],TODAY(),"M"))</f>
        <v>30</v>
      </c>
      <c r="T98">
        <f ca="1">subscriptions[[#This Row],[monthly_revenue]]*subscriptions[[#This Row],[customer_lifetime]]</f>
        <v>82335</v>
      </c>
      <c r="U98" t="str">
        <f>IF(subscriptions[[#This Row],[feature_usage_pct]]&lt;30,"High Risk",IF(subscriptions[[#This Row],[feature_usage_pct]]&lt;60,"Medium Risk","Low Risk"))</f>
        <v>High Risk</v>
      </c>
      <c r="V98">
        <f ca="1">subscriptions[[#This Row],[CLV]]/200</f>
        <v>411.67500000000001</v>
      </c>
    </row>
    <row r="99" spans="1:22" x14ac:dyDescent="0.25">
      <c r="A99" t="s">
        <v>152</v>
      </c>
      <c r="B99" t="s">
        <v>18</v>
      </c>
      <c r="C99" t="s">
        <v>28</v>
      </c>
      <c r="D99" t="s">
        <v>79</v>
      </c>
      <c r="E99" s="2" t="s">
        <v>664</v>
      </c>
      <c r="F99">
        <v>8</v>
      </c>
      <c r="G99">
        <v>137.66</v>
      </c>
      <c r="H99" t="s">
        <v>22</v>
      </c>
      <c r="I99" t="s">
        <v>23</v>
      </c>
      <c r="J99" s="1">
        <v>45989</v>
      </c>
      <c r="K99" t="s">
        <v>24</v>
      </c>
      <c r="L99" s="1">
        <v>46005</v>
      </c>
      <c r="M99" t="s">
        <v>56</v>
      </c>
      <c r="N99">
        <v>10</v>
      </c>
      <c r="O99">
        <v>6</v>
      </c>
      <c r="P99">
        <v>43</v>
      </c>
      <c r="Q99" t="s">
        <v>26</v>
      </c>
      <c r="R99">
        <f>IF(subscriptions[[#This Row],[churned]]="Yes",1,0)</f>
        <v>1</v>
      </c>
      <c r="S99">
        <f ca="1">IF(subscriptions[[#This Row],[churn_flag]]=1, DATEDIF(subscriptions[[#This Row],[signup_date]],subscriptions[[#This Row],[churn_date]],"M"), DATEDIF(subscriptions[[#This Row],[signup_date]],TODAY(),"M"))</f>
        <v>0</v>
      </c>
      <c r="T99">
        <f ca="1">subscriptions[[#This Row],[monthly_revenue]]*subscriptions[[#This Row],[customer_lifetime]]</f>
        <v>0</v>
      </c>
      <c r="U99" t="str">
        <f>IF(subscriptions[[#This Row],[feature_usage_pct]]&lt;30,"High Risk",IF(subscriptions[[#This Row],[feature_usage_pct]]&lt;60,"Medium Risk","Low Risk"))</f>
        <v>Medium Risk</v>
      </c>
      <c r="V99">
        <f ca="1">subscriptions[[#This Row],[CLV]]/200</f>
        <v>0</v>
      </c>
    </row>
    <row r="100" spans="1:22" x14ac:dyDescent="0.25">
      <c r="A100" t="s">
        <v>153</v>
      </c>
      <c r="B100" t="s">
        <v>71</v>
      </c>
      <c r="C100" t="s">
        <v>19</v>
      </c>
      <c r="D100" t="s">
        <v>40</v>
      </c>
      <c r="E100" s="2" t="s">
        <v>663</v>
      </c>
      <c r="F100">
        <v>6</v>
      </c>
      <c r="G100">
        <v>873.25</v>
      </c>
      <c r="H100" t="s">
        <v>22</v>
      </c>
      <c r="I100" t="s">
        <v>55</v>
      </c>
      <c r="J100" s="1">
        <v>44792</v>
      </c>
      <c r="K100" t="s">
        <v>26</v>
      </c>
      <c r="N100">
        <v>3</v>
      </c>
      <c r="O100">
        <v>4</v>
      </c>
      <c r="P100">
        <v>70</v>
      </c>
      <c r="Q100" t="s">
        <v>26</v>
      </c>
      <c r="R100">
        <f>IF(subscriptions[[#This Row],[churned]]="Yes",1,0)</f>
        <v>0</v>
      </c>
      <c r="S100">
        <f ca="1">IF(subscriptions[[#This Row],[churn_flag]]=1, DATEDIF(subscriptions[[#This Row],[signup_date]],subscriptions[[#This Row],[churn_date]],"M"), DATEDIF(subscriptions[[#This Row],[signup_date]],TODAY(),"M"))</f>
        <v>44</v>
      </c>
      <c r="T100">
        <f ca="1">subscriptions[[#This Row],[monthly_revenue]]*subscriptions[[#This Row],[customer_lifetime]]</f>
        <v>38423</v>
      </c>
      <c r="U100" t="str">
        <f>IF(subscriptions[[#This Row],[feature_usage_pct]]&lt;30,"High Risk",IF(subscriptions[[#This Row],[feature_usage_pct]]&lt;60,"Medium Risk","Low Risk"))</f>
        <v>Low Risk</v>
      </c>
      <c r="V100">
        <f ca="1">subscriptions[[#This Row],[CLV]]/200</f>
        <v>192.11500000000001</v>
      </c>
    </row>
    <row r="101" spans="1:22" x14ac:dyDescent="0.25">
      <c r="A101" t="s">
        <v>154</v>
      </c>
      <c r="B101" t="s">
        <v>36</v>
      </c>
      <c r="C101" t="s">
        <v>19</v>
      </c>
      <c r="D101" t="s">
        <v>37</v>
      </c>
      <c r="E101" s="2" t="s">
        <v>663</v>
      </c>
      <c r="F101">
        <v>17</v>
      </c>
      <c r="G101">
        <v>676.6</v>
      </c>
      <c r="H101" t="s">
        <v>60</v>
      </c>
      <c r="I101" t="s">
        <v>38</v>
      </c>
      <c r="J101" s="1">
        <v>45088</v>
      </c>
      <c r="K101" t="s">
        <v>26</v>
      </c>
      <c r="N101">
        <v>1</v>
      </c>
      <c r="O101">
        <v>4</v>
      </c>
      <c r="P101">
        <v>17</v>
      </c>
      <c r="Q101" t="s">
        <v>26</v>
      </c>
      <c r="R101">
        <f>IF(subscriptions[[#This Row],[churned]]="Yes",1,0)</f>
        <v>0</v>
      </c>
      <c r="S101">
        <f ca="1">IF(subscriptions[[#This Row],[churn_flag]]=1, DATEDIF(subscriptions[[#This Row],[signup_date]],subscriptions[[#This Row],[churn_date]],"M"), DATEDIF(subscriptions[[#This Row],[signup_date]],TODAY(),"M"))</f>
        <v>35</v>
      </c>
      <c r="T101">
        <f ca="1">subscriptions[[#This Row],[monthly_revenue]]*subscriptions[[#This Row],[customer_lifetime]]</f>
        <v>23681</v>
      </c>
      <c r="U101" t="str">
        <f>IF(subscriptions[[#This Row],[feature_usage_pct]]&lt;30,"High Risk",IF(subscriptions[[#This Row],[feature_usage_pct]]&lt;60,"Medium Risk","Low Risk"))</f>
        <v>High Risk</v>
      </c>
      <c r="V101">
        <f ca="1">subscriptions[[#This Row],[CLV]]/200</f>
        <v>118.405</v>
      </c>
    </row>
    <row r="102" spans="1:22" x14ac:dyDescent="0.25">
      <c r="A102" t="s">
        <v>155</v>
      </c>
      <c r="B102" t="s">
        <v>31</v>
      </c>
      <c r="C102" t="s">
        <v>19</v>
      </c>
      <c r="D102" t="s">
        <v>68</v>
      </c>
      <c r="E102" s="2" t="s">
        <v>664</v>
      </c>
      <c r="F102">
        <v>2</v>
      </c>
      <c r="G102">
        <v>33.35</v>
      </c>
      <c r="H102" t="s">
        <v>22</v>
      </c>
      <c r="I102" t="s">
        <v>23</v>
      </c>
      <c r="J102" s="1">
        <v>45629</v>
      </c>
      <c r="K102" t="s">
        <v>24</v>
      </c>
      <c r="L102" s="1">
        <v>45685</v>
      </c>
      <c r="M102" t="s">
        <v>56</v>
      </c>
      <c r="N102">
        <v>6</v>
      </c>
      <c r="O102">
        <v>3</v>
      </c>
      <c r="P102">
        <v>15</v>
      </c>
      <c r="Q102" t="s">
        <v>26</v>
      </c>
      <c r="R102">
        <f>IF(subscriptions[[#This Row],[churned]]="Yes",1,0)</f>
        <v>1</v>
      </c>
      <c r="S102">
        <f ca="1">IF(subscriptions[[#This Row],[churn_flag]]=1, DATEDIF(subscriptions[[#This Row],[signup_date]],subscriptions[[#This Row],[churn_date]],"M"), DATEDIF(subscriptions[[#This Row],[signup_date]],TODAY(),"M"))</f>
        <v>1</v>
      </c>
      <c r="T102">
        <f ca="1">subscriptions[[#This Row],[monthly_revenue]]*subscriptions[[#This Row],[customer_lifetime]]</f>
        <v>33.35</v>
      </c>
      <c r="U102" t="str">
        <f>IF(subscriptions[[#This Row],[feature_usage_pct]]&lt;30,"High Risk",IF(subscriptions[[#This Row],[feature_usage_pct]]&lt;60,"Medium Risk","Low Risk"))</f>
        <v>High Risk</v>
      </c>
      <c r="V102">
        <f ca="1">subscriptions[[#This Row],[CLV]]/200</f>
        <v>0.16675000000000001</v>
      </c>
    </row>
    <row r="103" spans="1:22" x14ac:dyDescent="0.25">
      <c r="A103" t="s">
        <v>156</v>
      </c>
      <c r="B103" t="s">
        <v>18</v>
      </c>
      <c r="C103" t="s">
        <v>19</v>
      </c>
      <c r="D103" t="s">
        <v>79</v>
      </c>
      <c r="E103" s="2" t="s">
        <v>33</v>
      </c>
      <c r="F103">
        <v>62</v>
      </c>
      <c r="G103">
        <v>801.85</v>
      </c>
      <c r="H103" t="s">
        <v>43</v>
      </c>
      <c r="I103" t="s">
        <v>69</v>
      </c>
      <c r="J103" s="1">
        <v>45233</v>
      </c>
      <c r="K103" t="s">
        <v>26</v>
      </c>
      <c r="N103">
        <v>11</v>
      </c>
      <c r="O103">
        <v>7</v>
      </c>
      <c r="P103">
        <v>88</v>
      </c>
      <c r="Q103" t="s">
        <v>26</v>
      </c>
      <c r="R103">
        <f>IF(subscriptions[[#This Row],[churned]]="Yes",1,0)</f>
        <v>0</v>
      </c>
      <c r="S103">
        <f ca="1">IF(subscriptions[[#This Row],[churn_flag]]=1, DATEDIF(subscriptions[[#This Row],[signup_date]],subscriptions[[#This Row],[churn_date]],"M"), DATEDIF(subscriptions[[#This Row],[signup_date]],TODAY(),"M"))</f>
        <v>30</v>
      </c>
      <c r="T103">
        <f ca="1">subscriptions[[#This Row],[monthly_revenue]]*subscriptions[[#This Row],[customer_lifetime]]</f>
        <v>24055.5</v>
      </c>
      <c r="U103" t="str">
        <f>IF(subscriptions[[#This Row],[feature_usage_pct]]&lt;30,"High Risk",IF(subscriptions[[#This Row],[feature_usage_pct]]&lt;60,"Medium Risk","Low Risk"))</f>
        <v>Low Risk</v>
      </c>
      <c r="V103">
        <f ca="1">subscriptions[[#This Row],[CLV]]/200</f>
        <v>120.2775</v>
      </c>
    </row>
    <row r="104" spans="1:22" x14ac:dyDescent="0.25">
      <c r="A104" t="s">
        <v>157</v>
      </c>
      <c r="B104" t="s">
        <v>18</v>
      </c>
      <c r="C104" t="s">
        <v>19</v>
      </c>
      <c r="D104" t="s">
        <v>79</v>
      </c>
      <c r="E104" s="2" t="s">
        <v>664</v>
      </c>
      <c r="F104">
        <v>4</v>
      </c>
      <c r="G104">
        <v>114.55</v>
      </c>
      <c r="H104" t="s">
        <v>98</v>
      </c>
      <c r="I104" t="s">
        <v>38</v>
      </c>
      <c r="J104" s="1">
        <v>45406</v>
      </c>
      <c r="K104" t="s">
        <v>26</v>
      </c>
      <c r="N104">
        <v>0</v>
      </c>
      <c r="O104">
        <v>6</v>
      </c>
      <c r="P104">
        <v>32</v>
      </c>
      <c r="Q104" t="s">
        <v>26</v>
      </c>
      <c r="R104">
        <f>IF(subscriptions[[#This Row],[churned]]="Yes",1,0)</f>
        <v>0</v>
      </c>
      <c r="S104">
        <f ca="1">IF(subscriptions[[#This Row],[churn_flag]]=1, DATEDIF(subscriptions[[#This Row],[signup_date]],subscriptions[[#This Row],[churn_date]],"M"), DATEDIF(subscriptions[[#This Row],[signup_date]],TODAY(),"M"))</f>
        <v>24</v>
      </c>
      <c r="T104">
        <f ca="1">subscriptions[[#This Row],[monthly_revenue]]*subscriptions[[#This Row],[customer_lifetime]]</f>
        <v>2749.2</v>
      </c>
      <c r="U104" t="str">
        <f>IF(subscriptions[[#This Row],[feature_usage_pct]]&lt;30,"High Risk",IF(subscriptions[[#This Row],[feature_usage_pct]]&lt;60,"Medium Risk","Low Risk"))</f>
        <v>Medium Risk</v>
      </c>
      <c r="V104">
        <f ca="1">subscriptions[[#This Row],[CLV]]/200</f>
        <v>13.745999999999999</v>
      </c>
    </row>
    <row r="105" spans="1:22" x14ac:dyDescent="0.25">
      <c r="A105" t="s">
        <v>158</v>
      </c>
      <c r="B105" t="s">
        <v>36</v>
      </c>
      <c r="C105" t="s">
        <v>19</v>
      </c>
      <c r="D105" t="s">
        <v>62</v>
      </c>
      <c r="E105" s="2" t="s">
        <v>663</v>
      </c>
      <c r="F105">
        <v>17</v>
      </c>
      <c r="G105">
        <v>676.6</v>
      </c>
      <c r="H105" t="s">
        <v>22</v>
      </c>
      <c r="I105" t="s">
        <v>38</v>
      </c>
      <c r="J105" s="1">
        <v>45626</v>
      </c>
      <c r="K105" t="s">
        <v>24</v>
      </c>
      <c r="L105" s="1">
        <v>45808</v>
      </c>
      <c r="M105" t="s">
        <v>53</v>
      </c>
      <c r="N105">
        <v>12</v>
      </c>
      <c r="O105">
        <v>1</v>
      </c>
      <c r="P105">
        <v>30</v>
      </c>
      <c r="Q105" t="s">
        <v>26</v>
      </c>
      <c r="R105">
        <f>IF(subscriptions[[#This Row],[churned]]="Yes",1,0)</f>
        <v>1</v>
      </c>
      <c r="S105">
        <f ca="1">IF(subscriptions[[#This Row],[churn_flag]]=1, DATEDIF(subscriptions[[#This Row],[signup_date]],subscriptions[[#This Row],[churn_date]],"M"), DATEDIF(subscriptions[[#This Row],[signup_date]],TODAY(),"M"))</f>
        <v>6</v>
      </c>
      <c r="T105">
        <f ca="1">subscriptions[[#This Row],[monthly_revenue]]*subscriptions[[#This Row],[customer_lifetime]]</f>
        <v>4059.6000000000004</v>
      </c>
      <c r="U105" t="str">
        <f>IF(subscriptions[[#This Row],[feature_usage_pct]]&lt;30,"High Risk",IF(subscriptions[[#This Row],[feature_usage_pct]]&lt;60,"Medium Risk","Low Risk"))</f>
        <v>Medium Risk</v>
      </c>
      <c r="V105">
        <f ca="1">subscriptions[[#This Row],[CLV]]/200</f>
        <v>20.298000000000002</v>
      </c>
    </row>
    <row r="106" spans="1:22" x14ac:dyDescent="0.25">
      <c r="A106" t="s">
        <v>159</v>
      </c>
      <c r="B106" t="s">
        <v>18</v>
      </c>
      <c r="C106" t="s">
        <v>19</v>
      </c>
      <c r="D106" t="s">
        <v>40</v>
      </c>
      <c r="E106" s="2" t="s">
        <v>45</v>
      </c>
      <c r="F106">
        <v>42</v>
      </c>
      <c r="G106">
        <v>564.85</v>
      </c>
      <c r="H106" t="s">
        <v>60</v>
      </c>
      <c r="I106" t="s">
        <v>69</v>
      </c>
      <c r="J106" s="1">
        <v>45281</v>
      </c>
      <c r="K106" t="s">
        <v>26</v>
      </c>
      <c r="N106">
        <v>6</v>
      </c>
      <c r="O106">
        <v>5</v>
      </c>
      <c r="P106">
        <v>53</v>
      </c>
      <c r="Q106" t="s">
        <v>24</v>
      </c>
      <c r="R106">
        <f>IF(subscriptions[[#This Row],[churned]]="Yes",1,0)</f>
        <v>0</v>
      </c>
      <c r="S106">
        <f ca="1">IF(subscriptions[[#This Row],[churn_flag]]=1, DATEDIF(subscriptions[[#This Row],[signup_date]],subscriptions[[#This Row],[churn_date]],"M"), DATEDIF(subscriptions[[#This Row],[signup_date]],TODAY(),"M"))</f>
        <v>28</v>
      </c>
      <c r="T106">
        <f ca="1">subscriptions[[#This Row],[monthly_revenue]]*subscriptions[[#This Row],[customer_lifetime]]</f>
        <v>15815.800000000001</v>
      </c>
      <c r="U106" t="str">
        <f>IF(subscriptions[[#This Row],[feature_usage_pct]]&lt;30,"High Risk",IF(subscriptions[[#This Row],[feature_usage_pct]]&lt;60,"Medium Risk","Low Risk"))</f>
        <v>Medium Risk</v>
      </c>
      <c r="V106">
        <f ca="1">subscriptions[[#This Row],[CLV]]/200</f>
        <v>79.079000000000008</v>
      </c>
    </row>
    <row r="107" spans="1:22" x14ac:dyDescent="0.25">
      <c r="A107" t="s">
        <v>160</v>
      </c>
      <c r="B107" t="s">
        <v>31</v>
      </c>
      <c r="C107" t="s">
        <v>19</v>
      </c>
      <c r="D107" t="s">
        <v>20</v>
      </c>
      <c r="E107" s="2" t="s">
        <v>664</v>
      </c>
      <c r="F107">
        <v>1</v>
      </c>
      <c r="G107">
        <v>29</v>
      </c>
      <c r="H107" t="s">
        <v>43</v>
      </c>
      <c r="I107" t="s">
        <v>55</v>
      </c>
      <c r="J107" s="1">
        <v>45614</v>
      </c>
      <c r="K107" t="s">
        <v>24</v>
      </c>
      <c r="L107" s="1">
        <v>45712</v>
      </c>
      <c r="M107" t="s">
        <v>46</v>
      </c>
      <c r="N107">
        <v>4</v>
      </c>
      <c r="O107">
        <v>3</v>
      </c>
      <c r="P107">
        <v>20</v>
      </c>
      <c r="Q107" t="s">
        <v>26</v>
      </c>
      <c r="R107">
        <f>IF(subscriptions[[#This Row],[churned]]="Yes",1,0)</f>
        <v>1</v>
      </c>
      <c r="S107">
        <f ca="1">IF(subscriptions[[#This Row],[churn_flag]]=1, DATEDIF(subscriptions[[#This Row],[signup_date]],subscriptions[[#This Row],[churn_date]],"M"), DATEDIF(subscriptions[[#This Row],[signup_date]],TODAY(),"M"))</f>
        <v>3</v>
      </c>
      <c r="T107">
        <f ca="1">subscriptions[[#This Row],[monthly_revenue]]*subscriptions[[#This Row],[customer_lifetime]]</f>
        <v>87</v>
      </c>
      <c r="U107" t="str">
        <f>IF(subscriptions[[#This Row],[feature_usage_pct]]&lt;30,"High Risk",IF(subscriptions[[#This Row],[feature_usage_pct]]&lt;60,"Medium Risk","Low Risk"))</f>
        <v>High Risk</v>
      </c>
      <c r="V107">
        <f ca="1">subscriptions[[#This Row],[CLV]]/200</f>
        <v>0.435</v>
      </c>
    </row>
    <row r="108" spans="1:22" x14ac:dyDescent="0.25">
      <c r="A108" t="s">
        <v>161</v>
      </c>
      <c r="B108" t="s">
        <v>36</v>
      </c>
      <c r="C108" t="s">
        <v>19</v>
      </c>
      <c r="D108" t="s">
        <v>68</v>
      </c>
      <c r="E108" s="2" t="s">
        <v>33</v>
      </c>
      <c r="F108">
        <v>139</v>
      </c>
      <c r="G108">
        <v>4318.3</v>
      </c>
      <c r="H108" t="s">
        <v>43</v>
      </c>
      <c r="I108" t="s">
        <v>38</v>
      </c>
      <c r="J108" s="1">
        <v>44791</v>
      </c>
      <c r="K108" t="s">
        <v>24</v>
      </c>
      <c r="L108" s="1">
        <v>45421</v>
      </c>
      <c r="M108" t="s">
        <v>63</v>
      </c>
      <c r="N108">
        <v>11</v>
      </c>
      <c r="O108">
        <v>2</v>
      </c>
      <c r="P108">
        <v>24</v>
      </c>
      <c r="Q108" t="s">
        <v>26</v>
      </c>
      <c r="R108">
        <f>IF(subscriptions[[#This Row],[churned]]="Yes",1,0)</f>
        <v>1</v>
      </c>
      <c r="S108">
        <f ca="1">IF(subscriptions[[#This Row],[churn_flag]]=1, DATEDIF(subscriptions[[#This Row],[signup_date]],subscriptions[[#This Row],[churn_date]],"M"), DATEDIF(subscriptions[[#This Row],[signup_date]],TODAY(),"M"))</f>
        <v>20</v>
      </c>
      <c r="T108">
        <f ca="1">subscriptions[[#This Row],[monthly_revenue]]*subscriptions[[#This Row],[customer_lifetime]]</f>
        <v>86366</v>
      </c>
      <c r="U108" t="str">
        <f>IF(subscriptions[[#This Row],[feature_usage_pct]]&lt;30,"High Risk",IF(subscriptions[[#This Row],[feature_usage_pct]]&lt;60,"Medium Risk","Low Risk"))</f>
        <v>High Risk</v>
      </c>
      <c r="V108">
        <f ca="1">subscriptions[[#This Row],[CLV]]/200</f>
        <v>431.83</v>
      </c>
    </row>
    <row r="109" spans="1:22" x14ac:dyDescent="0.25">
      <c r="A109" t="s">
        <v>162</v>
      </c>
      <c r="B109" t="s">
        <v>36</v>
      </c>
      <c r="C109" t="s">
        <v>28</v>
      </c>
      <c r="D109" t="s">
        <v>79</v>
      </c>
      <c r="E109" s="2" t="s">
        <v>21</v>
      </c>
      <c r="F109">
        <v>30</v>
      </c>
      <c r="G109">
        <v>904.95</v>
      </c>
      <c r="H109" t="s">
        <v>22</v>
      </c>
      <c r="I109" t="s">
        <v>23</v>
      </c>
      <c r="J109" s="1">
        <v>45885</v>
      </c>
      <c r="K109" t="s">
        <v>26</v>
      </c>
      <c r="N109">
        <v>11</v>
      </c>
      <c r="O109">
        <v>5</v>
      </c>
      <c r="P109">
        <v>48</v>
      </c>
      <c r="Q109" t="s">
        <v>26</v>
      </c>
      <c r="R109">
        <f>IF(subscriptions[[#This Row],[churned]]="Yes",1,0)</f>
        <v>0</v>
      </c>
      <c r="S109">
        <f ca="1">IF(subscriptions[[#This Row],[churn_flag]]=1, DATEDIF(subscriptions[[#This Row],[signup_date]],subscriptions[[#This Row],[churn_date]],"M"), DATEDIF(subscriptions[[#This Row],[signup_date]],TODAY(),"M"))</f>
        <v>8</v>
      </c>
      <c r="T109">
        <f ca="1">subscriptions[[#This Row],[monthly_revenue]]*subscriptions[[#This Row],[customer_lifetime]]</f>
        <v>7239.6</v>
      </c>
      <c r="U109" t="str">
        <f>IF(subscriptions[[#This Row],[feature_usage_pct]]&lt;30,"High Risk",IF(subscriptions[[#This Row],[feature_usage_pct]]&lt;60,"Medium Risk","Low Risk"))</f>
        <v>Medium Risk</v>
      </c>
      <c r="V109">
        <f ca="1">subscriptions[[#This Row],[CLV]]/200</f>
        <v>36.198</v>
      </c>
    </row>
    <row r="110" spans="1:22" x14ac:dyDescent="0.25">
      <c r="A110" t="s">
        <v>163</v>
      </c>
      <c r="B110" t="s">
        <v>36</v>
      </c>
      <c r="C110" t="s">
        <v>28</v>
      </c>
      <c r="D110" t="s">
        <v>32</v>
      </c>
      <c r="E110" s="2" t="s">
        <v>21</v>
      </c>
      <c r="F110">
        <v>16</v>
      </c>
      <c r="G110">
        <v>549.74</v>
      </c>
      <c r="H110" t="s">
        <v>22</v>
      </c>
      <c r="I110" t="s">
        <v>55</v>
      </c>
      <c r="J110" s="1">
        <v>44868</v>
      </c>
      <c r="K110" t="s">
        <v>26</v>
      </c>
      <c r="N110">
        <v>0</v>
      </c>
      <c r="O110">
        <v>9</v>
      </c>
      <c r="P110">
        <v>57</v>
      </c>
      <c r="Q110" t="s">
        <v>26</v>
      </c>
      <c r="R110">
        <f>IF(subscriptions[[#This Row],[churned]]="Yes",1,0)</f>
        <v>0</v>
      </c>
      <c r="S110">
        <f ca="1">IF(subscriptions[[#This Row],[churn_flag]]=1, DATEDIF(subscriptions[[#This Row],[signup_date]],subscriptions[[#This Row],[churn_date]],"M"), DATEDIF(subscriptions[[#This Row],[signup_date]],TODAY(),"M"))</f>
        <v>42</v>
      </c>
      <c r="T110">
        <f ca="1">subscriptions[[#This Row],[monthly_revenue]]*subscriptions[[#This Row],[customer_lifetime]]</f>
        <v>23089.08</v>
      </c>
      <c r="U110" t="str">
        <f>IF(subscriptions[[#This Row],[feature_usage_pct]]&lt;30,"High Risk",IF(subscriptions[[#This Row],[feature_usage_pct]]&lt;60,"Medium Risk","Low Risk"))</f>
        <v>Medium Risk</v>
      </c>
      <c r="V110">
        <f ca="1">subscriptions[[#This Row],[CLV]]/200</f>
        <v>115.44540000000001</v>
      </c>
    </row>
    <row r="111" spans="1:22" x14ac:dyDescent="0.25">
      <c r="A111" t="s">
        <v>164</v>
      </c>
      <c r="B111" t="s">
        <v>18</v>
      </c>
      <c r="C111" t="s">
        <v>28</v>
      </c>
      <c r="D111" t="s">
        <v>20</v>
      </c>
      <c r="E111" s="2" t="s">
        <v>45</v>
      </c>
      <c r="F111">
        <v>58</v>
      </c>
      <c r="G111">
        <v>641.28</v>
      </c>
      <c r="H111" t="s">
        <v>43</v>
      </c>
      <c r="I111" t="s">
        <v>38</v>
      </c>
      <c r="J111" s="1">
        <v>45201</v>
      </c>
      <c r="K111" t="s">
        <v>24</v>
      </c>
      <c r="L111" s="1">
        <v>45778</v>
      </c>
      <c r="M111" t="s">
        <v>82</v>
      </c>
      <c r="N111">
        <v>12</v>
      </c>
      <c r="O111">
        <v>3</v>
      </c>
      <c r="P111">
        <v>38</v>
      </c>
      <c r="Q111" t="s">
        <v>26</v>
      </c>
      <c r="R111">
        <f>IF(subscriptions[[#This Row],[churned]]="Yes",1,0)</f>
        <v>1</v>
      </c>
      <c r="S111">
        <f ca="1">IF(subscriptions[[#This Row],[churn_flag]]=1, DATEDIF(subscriptions[[#This Row],[signup_date]],subscriptions[[#This Row],[churn_date]],"M"), DATEDIF(subscriptions[[#This Row],[signup_date]],TODAY(),"M"))</f>
        <v>18</v>
      </c>
      <c r="T111">
        <f ca="1">subscriptions[[#This Row],[monthly_revenue]]*subscriptions[[#This Row],[customer_lifetime]]</f>
        <v>11543.039999999999</v>
      </c>
      <c r="U111" t="str">
        <f>IF(subscriptions[[#This Row],[feature_usage_pct]]&lt;30,"High Risk",IF(subscriptions[[#This Row],[feature_usage_pct]]&lt;60,"Medium Risk","Low Risk"))</f>
        <v>Medium Risk</v>
      </c>
      <c r="V111">
        <f ca="1">subscriptions[[#This Row],[CLV]]/200</f>
        <v>57.715199999999996</v>
      </c>
    </row>
    <row r="112" spans="1:22" x14ac:dyDescent="0.25">
      <c r="A112" t="s">
        <v>165</v>
      </c>
      <c r="B112" t="s">
        <v>31</v>
      </c>
      <c r="C112" t="s">
        <v>28</v>
      </c>
      <c r="D112" t="s">
        <v>79</v>
      </c>
      <c r="E112" s="2" t="s">
        <v>663</v>
      </c>
      <c r="F112">
        <v>5</v>
      </c>
      <c r="G112">
        <v>39.44</v>
      </c>
      <c r="H112" t="s">
        <v>34</v>
      </c>
      <c r="I112" t="s">
        <v>38</v>
      </c>
      <c r="J112" s="1">
        <v>44917</v>
      </c>
      <c r="K112" t="s">
        <v>24</v>
      </c>
      <c r="L112" s="1">
        <v>45242</v>
      </c>
      <c r="M112" t="s">
        <v>50</v>
      </c>
      <c r="N112">
        <v>15</v>
      </c>
      <c r="O112">
        <v>5</v>
      </c>
      <c r="P112">
        <v>29</v>
      </c>
      <c r="Q112" t="s">
        <v>26</v>
      </c>
      <c r="R112">
        <f>IF(subscriptions[[#This Row],[churned]]="Yes",1,0)</f>
        <v>1</v>
      </c>
      <c r="S112">
        <f ca="1">IF(subscriptions[[#This Row],[churn_flag]]=1, DATEDIF(subscriptions[[#This Row],[signup_date]],subscriptions[[#This Row],[churn_date]],"M"), DATEDIF(subscriptions[[#This Row],[signup_date]],TODAY(),"M"))</f>
        <v>10</v>
      </c>
      <c r="T112">
        <f ca="1">subscriptions[[#This Row],[monthly_revenue]]*subscriptions[[#This Row],[customer_lifetime]]</f>
        <v>394.4</v>
      </c>
      <c r="U112" t="str">
        <f>IF(subscriptions[[#This Row],[feature_usage_pct]]&lt;30,"High Risk",IF(subscriptions[[#This Row],[feature_usage_pct]]&lt;60,"Medium Risk","Low Risk"))</f>
        <v>High Risk</v>
      </c>
      <c r="V112">
        <f ca="1">subscriptions[[#This Row],[CLV]]/200</f>
        <v>1.972</v>
      </c>
    </row>
    <row r="113" spans="1:22" x14ac:dyDescent="0.25">
      <c r="A113" t="s">
        <v>166</v>
      </c>
      <c r="B113" t="s">
        <v>18</v>
      </c>
      <c r="C113" t="s">
        <v>19</v>
      </c>
      <c r="D113" t="s">
        <v>32</v>
      </c>
      <c r="E113" s="2" t="s">
        <v>45</v>
      </c>
      <c r="F113">
        <v>42</v>
      </c>
      <c r="G113">
        <v>564.85</v>
      </c>
      <c r="H113" t="s">
        <v>29</v>
      </c>
      <c r="I113" t="s">
        <v>23</v>
      </c>
      <c r="J113" s="1">
        <v>44588</v>
      </c>
      <c r="K113" t="s">
        <v>24</v>
      </c>
      <c r="L113" s="1">
        <v>44688</v>
      </c>
      <c r="M113" t="s">
        <v>53</v>
      </c>
      <c r="N113">
        <v>7</v>
      </c>
      <c r="O113">
        <v>2</v>
      </c>
      <c r="P113">
        <v>40</v>
      </c>
      <c r="Q113" t="s">
        <v>26</v>
      </c>
      <c r="R113">
        <f>IF(subscriptions[[#This Row],[churned]]="Yes",1,0)</f>
        <v>1</v>
      </c>
      <c r="S113">
        <f ca="1">IF(subscriptions[[#This Row],[churn_flag]]=1, DATEDIF(subscriptions[[#This Row],[signup_date]],subscriptions[[#This Row],[churn_date]],"M"), DATEDIF(subscriptions[[#This Row],[signup_date]],TODAY(),"M"))</f>
        <v>3</v>
      </c>
      <c r="T113">
        <f ca="1">subscriptions[[#This Row],[monthly_revenue]]*subscriptions[[#This Row],[customer_lifetime]]</f>
        <v>1694.5500000000002</v>
      </c>
      <c r="U113" t="str">
        <f>IF(subscriptions[[#This Row],[feature_usage_pct]]&lt;30,"High Risk",IF(subscriptions[[#This Row],[feature_usage_pct]]&lt;60,"Medium Risk","Low Risk"))</f>
        <v>Medium Risk</v>
      </c>
      <c r="V113">
        <f ca="1">subscriptions[[#This Row],[CLV]]/200</f>
        <v>8.4727500000000013</v>
      </c>
    </row>
    <row r="114" spans="1:22" x14ac:dyDescent="0.25">
      <c r="A114" t="s">
        <v>167</v>
      </c>
      <c r="B114" t="s">
        <v>36</v>
      </c>
      <c r="C114" t="s">
        <v>19</v>
      </c>
      <c r="D114" t="s">
        <v>79</v>
      </c>
      <c r="E114" s="2" t="s">
        <v>663</v>
      </c>
      <c r="F114">
        <v>20</v>
      </c>
      <c r="G114">
        <v>766.15</v>
      </c>
      <c r="H114" t="s">
        <v>43</v>
      </c>
      <c r="I114" t="s">
        <v>23</v>
      </c>
      <c r="J114" s="1">
        <v>45087</v>
      </c>
      <c r="K114" t="s">
        <v>24</v>
      </c>
      <c r="L114" s="1">
        <v>45230</v>
      </c>
      <c r="M114" t="s">
        <v>56</v>
      </c>
      <c r="N114">
        <v>3</v>
      </c>
      <c r="O114">
        <v>4</v>
      </c>
      <c r="P114">
        <v>22</v>
      </c>
      <c r="Q114" t="s">
        <v>26</v>
      </c>
      <c r="R114">
        <f>IF(subscriptions[[#This Row],[churned]]="Yes",1,0)</f>
        <v>1</v>
      </c>
      <c r="S114">
        <f ca="1">IF(subscriptions[[#This Row],[churn_flag]]=1, DATEDIF(subscriptions[[#This Row],[signup_date]],subscriptions[[#This Row],[churn_date]],"M"), DATEDIF(subscriptions[[#This Row],[signup_date]],TODAY(),"M"))</f>
        <v>4</v>
      </c>
      <c r="T114">
        <f ca="1">subscriptions[[#This Row],[monthly_revenue]]*subscriptions[[#This Row],[customer_lifetime]]</f>
        <v>3064.6</v>
      </c>
      <c r="U114" t="str">
        <f>IF(subscriptions[[#This Row],[feature_usage_pct]]&lt;30,"High Risk",IF(subscriptions[[#This Row],[feature_usage_pct]]&lt;60,"Medium Risk","Low Risk"))</f>
        <v>High Risk</v>
      </c>
      <c r="V114">
        <f ca="1">subscriptions[[#This Row],[CLV]]/200</f>
        <v>15.323</v>
      </c>
    </row>
    <row r="115" spans="1:22" x14ac:dyDescent="0.25">
      <c r="A115" t="s">
        <v>168</v>
      </c>
      <c r="B115" t="s">
        <v>31</v>
      </c>
      <c r="C115" t="s">
        <v>19</v>
      </c>
      <c r="D115" t="s">
        <v>42</v>
      </c>
      <c r="E115" s="2" t="s">
        <v>33</v>
      </c>
      <c r="F115">
        <v>235</v>
      </c>
      <c r="G115">
        <v>1046.9000000000001</v>
      </c>
      <c r="H115" t="s">
        <v>43</v>
      </c>
      <c r="I115" t="s">
        <v>55</v>
      </c>
      <c r="J115" s="1">
        <v>44718</v>
      </c>
      <c r="K115" t="s">
        <v>24</v>
      </c>
      <c r="L115" s="1">
        <v>44731</v>
      </c>
      <c r="M115" t="s">
        <v>56</v>
      </c>
      <c r="N115">
        <v>11</v>
      </c>
      <c r="O115">
        <v>1</v>
      </c>
      <c r="P115">
        <v>23</v>
      </c>
      <c r="Q115" t="s">
        <v>26</v>
      </c>
      <c r="R115">
        <f>IF(subscriptions[[#This Row],[churned]]="Yes",1,0)</f>
        <v>1</v>
      </c>
      <c r="S115">
        <f ca="1">IF(subscriptions[[#This Row],[churn_flag]]=1, DATEDIF(subscriptions[[#This Row],[signup_date]],subscriptions[[#This Row],[churn_date]],"M"), DATEDIF(subscriptions[[#This Row],[signup_date]],TODAY(),"M"))</f>
        <v>0</v>
      </c>
      <c r="T115">
        <f ca="1">subscriptions[[#This Row],[monthly_revenue]]*subscriptions[[#This Row],[customer_lifetime]]</f>
        <v>0</v>
      </c>
      <c r="U115" t="str">
        <f>IF(subscriptions[[#This Row],[feature_usage_pct]]&lt;30,"High Risk",IF(subscriptions[[#This Row],[feature_usage_pct]]&lt;60,"Medium Risk","Low Risk"))</f>
        <v>High Risk</v>
      </c>
      <c r="V115">
        <f ca="1">subscriptions[[#This Row],[CLV]]/200</f>
        <v>0</v>
      </c>
    </row>
    <row r="116" spans="1:22" x14ac:dyDescent="0.25">
      <c r="A116" t="s">
        <v>169</v>
      </c>
      <c r="B116" t="s">
        <v>31</v>
      </c>
      <c r="C116" t="s">
        <v>28</v>
      </c>
      <c r="D116" t="s">
        <v>68</v>
      </c>
      <c r="E116" s="2" t="s">
        <v>45</v>
      </c>
      <c r="F116">
        <v>31</v>
      </c>
      <c r="G116">
        <v>135.57</v>
      </c>
      <c r="H116" t="s">
        <v>22</v>
      </c>
      <c r="I116" t="s">
        <v>69</v>
      </c>
      <c r="J116" s="1">
        <v>45532</v>
      </c>
      <c r="K116" t="s">
        <v>26</v>
      </c>
      <c r="N116">
        <v>0</v>
      </c>
      <c r="O116">
        <v>5</v>
      </c>
      <c r="P116">
        <v>75</v>
      </c>
      <c r="Q116" t="s">
        <v>26</v>
      </c>
      <c r="R116">
        <f>IF(subscriptions[[#This Row],[churned]]="Yes",1,0)</f>
        <v>0</v>
      </c>
      <c r="S116">
        <f ca="1">IF(subscriptions[[#This Row],[churn_flag]]=1, DATEDIF(subscriptions[[#This Row],[signup_date]],subscriptions[[#This Row],[churn_date]],"M"), DATEDIF(subscriptions[[#This Row],[signup_date]],TODAY(),"M"))</f>
        <v>20</v>
      </c>
      <c r="T116">
        <f ca="1">subscriptions[[#This Row],[monthly_revenue]]*subscriptions[[#This Row],[customer_lifetime]]</f>
        <v>2711.3999999999996</v>
      </c>
      <c r="U116" t="str">
        <f>IF(subscriptions[[#This Row],[feature_usage_pct]]&lt;30,"High Risk",IF(subscriptions[[#This Row],[feature_usage_pct]]&lt;60,"Medium Risk","Low Risk"))</f>
        <v>Low Risk</v>
      </c>
      <c r="V116">
        <f ca="1">subscriptions[[#This Row],[CLV]]/200</f>
        <v>13.556999999999999</v>
      </c>
    </row>
    <row r="117" spans="1:22" x14ac:dyDescent="0.25">
      <c r="A117" t="s">
        <v>170</v>
      </c>
      <c r="B117" t="s">
        <v>18</v>
      </c>
      <c r="C117" t="s">
        <v>19</v>
      </c>
      <c r="D117" t="s">
        <v>42</v>
      </c>
      <c r="E117" s="2" t="s">
        <v>21</v>
      </c>
      <c r="F117">
        <v>16</v>
      </c>
      <c r="G117">
        <v>256.75</v>
      </c>
      <c r="H117" t="s">
        <v>22</v>
      </c>
      <c r="I117" t="s">
        <v>23</v>
      </c>
      <c r="J117" s="1">
        <v>45903</v>
      </c>
      <c r="K117" t="s">
        <v>26</v>
      </c>
      <c r="N117">
        <v>0</v>
      </c>
      <c r="O117">
        <v>2</v>
      </c>
      <c r="P117">
        <v>25</v>
      </c>
      <c r="Q117" t="s">
        <v>26</v>
      </c>
      <c r="R117">
        <f>IF(subscriptions[[#This Row],[churned]]="Yes",1,0)</f>
        <v>0</v>
      </c>
      <c r="S117">
        <f ca="1">IF(subscriptions[[#This Row],[churn_flag]]=1, DATEDIF(subscriptions[[#This Row],[signup_date]],subscriptions[[#This Row],[churn_date]],"M"), DATEDIF(subscriptions[[#This Row],[signup_date]],TODAY(),"M"))</f>
        <v>8</v>
      </c>
      <c r="T117">
        <f ca="1">subscriptions[[#This Row],[monthly_revenue]]*subscriptions[[#This Row],[customer_lifetime]]</f>
        <v>2054</v>
      </c>
      <c r="U117" t="str">
        <f>IF(subscriptions[[#This Row],[feature_usage_pct]]&lt;30,"High Risk",IF(subscriptions[[#This Row],[feature_usage_pct]]&lt;60,"Medium Risk","Low Risk"))</f>
        <v>High Risk</v>
      </c>
      <c r="V117">
        <f ca="1">subscriptions[[#This Row],[CLV]]/200</f>
        <v>10.27</v>
      </c>
    </row>
    <row r="118" spans="1:22" x14ac:dyDescent="0.25">
      <c r="A118" t="s">
        <v>171</v>
      </c>
      <c r="B118" t="s">
        <v>18</v>
      </c>
      <c r="C118" t="s">
        <v>28</v>
      </c>
      <c r="D118" t="s">
        <v>49</v>
      </c>
      <c r="E118" s="2" t="s">
        <v>21</v>
      </c>
      <c r="F118">
        <v>25</v>
      </c>
      <c r="G118">
        <v>308.89</v>
      </c>
      <c r="H118" t="s">
        <v>60</v>
      </c>
      <c r="I118" t="s">
        <v>55</v>
      </c>
      <c r="J118" s="1">
        <v>45364</v>
      </c>
      <c r="K118" t="s">
        <v>24</v>
      </c>
      <c r="L118" s="1">
        <v>45822</v>
      </c>
      <c r="M118" t="s">
        <v>53</v>
      </c>
      <c r="N118">
        <v>0</v>
      </c>
      <c r="O118">
        <v>2</v>
      </c>
      <c r="P118">
        <v>28</v>
      </c>
      <c r="Q118" t="s">
        <v>26</v>
      </c>
      <c r="R118">
        <f>IF(subscriptions[[#This Row],[churned]]="Yes",1,0)</f>
        <v>1</v>
      </c>
      <c r="S118">
        <f ca="1">IF(subscriptions[[#This Row],[churn_flag]]=1, DATEDIF(subscriptions[[#This Row],[signup_date]],subscriptions[[#This Row],[churn_date]],"M"), DATEDIF(subscriptions[[#This Row],[signup_date]],TODAY(),"M"))</f>
        <v>15</v>
      </c>
      <c r="T118">
        <f ca="1">subscriptions[[#This Row],[monthly_revenue]]*subscriptions[[#This Row],[customer_lifetime]]</f>
        <v>4633.3499999999995</v>
      </c>
      <c r="U118" t="str">
        <f>IF(subscriptions[[#This Row],[feature_usage_pct]]&lt;30,"High Risk",IF(subscriptions[[#This Row],[feature_usage_pct]]&lt;60,"Medium Risk","Low Risk"))</f>
        <v>High Risk</v>
      </c>
      <c r="V118">
        <f ca="1">subscriptions[[#This Row],[CLV]]/200</f>
        <v>23.166749999999997</v>
      </c>
    </row>
    <row r="119" spans="1:22" x14ac:dyDescent="0.25">
      <c r="A119" t="s">
        <v>172</v>
      </c>
      <c r="B119" t="s">
        <v>18</v>
      </c>
      <c r="C119" t="s">
        <v>19</v>
      </c>
      <c r="D119" t="s">
        <v>40</v>
      </c>
      <c r="E119" s="2" t="s">
        <v>663</v>
      </c>
      <c r="F119">
        <v>17</v>
      </c>
      <c r="G119">
        <v>268.60000000000002</v>
      </c>
      <c r="H119" t="s">
        <v>34</v>
      </c>
      <c r="I119" t="s">
        <v>38</v>
      </c>
      <c r="J119" s="1">
        <v>45657</v>
      </c>
      <c r="K119" t="s">
        <v>24</v>
      </c>
      <c r="L119" s="1">
        <v>45730</v>
      </c>
      <c r="M119" t="s">
        <v>63</v>
      </c>
      <c r="N119">
        <v>0</v>
      </c>
      <c r="O119">
        <v>5</v>
      </c>
      <c r="P119">
        <v>25</v>
      </c>
      <c r="Q119" t="s">
        <v>26</v>
      </c>
      <c r="R119">
        <f>IF(subscriptions[[#This Row],[churned]]="Yes",1,0)</f>
        <v>1</v>
      </c>
      <c r="S119">
        <f ca="1">IF(subscriptions[[#This Row],[churn_flag]]=1, DATEDIF(subscriptions[[#This Row],[signup_date]],subscriptions[[#This Row],[churn_date]],"M"), DATEDIF(subscriptions[[#This Row],[signup_date]],TODAY(),"M"))</f>
        <v>2</v>
      </c>
      <c r="T119">
        <f ca="1">subscriptions[[#This Row],[monthly_revenue]]*subscriptions[[#This Row],[customer_lifetime]]</f>
        <v>537.20000000000005</v>
      </c>
      <c r="U119" t="str">
        <f>IF(subscriptions[[#This Row],[feature_usage_pct]]&lt;30,"High Risk",IF(subscriptions[[#This Row],[feature_usage_pct]]&lt;60,"Medium Risk","Low Risk"))</f>
        <v>High Risk</v>
      </c>
      <c r="V119">
        <f ca="1">subscriptions[[#This Row],[CLV]]/200</f>
        <v>2.6860000000000004</v>
      </c>
    </row>
    <row r="120" spans="1:22" x14ac:dyDescent="0.25">
      <c r="A120" t="s">
        <v>173</v>
      </c>
      <c r="B120" t="s">
        <v>18</v>
      </c>
      <c r="C120" t="s">
        <v>19</v>
      </c>
      <c r="D120" t="s">
        <v>62</v>
      </c>
      <c r="E120" s="2" t="s">
        <v>663</v>
      </c>
      <c r="F120">
        <v>28</v>
      </c>
      <c r="G120">
        <v>398.95</v>
      </c>
      <c r="H120" t="s">
        <v>22</v>
      </c>
      <c r="I120" t="s">
        <v>23</v>
      </c>
      <c r="J120" s="1">
        <v>44866</v>
      </c>
      <c r="K120" t="s">
        <v>26</v>
      </c>
      <c r="N120">
        <v>9</v>
      </c>
      <c r="O120">
        <v>8</v>
      </c>
      <c r="P120">
        <v>44</v>
      </c>
      <c r="Q120" t="s">
        <v>26</v>
      </c>
      <c r="R120">
        <f>IF(subscriptions[[#This Row],[churned]]="Yes",1,0)</f>
        <v>0</v>
      </c>
      <c r="S120">
        <f ca="1">IF(subscriptions[[#This Row],[churn_flag]]=1, DATEDIF(subscriptions[[#This Row],[signup_date]],subscriptions[[#This Row],[churn_date]],"M"), DATEDIF(subscriptions[[#This Row],[signup_date]],TODAY(),"M"))</f>
        <v>42</v>
      </c>
      <c r="T120">
        <f ca="1">subscriptions[[#This Row],[monthly_revenue]]*subscriptions[[#This Row],[customer_lifetime]]</f>
        <v>16755.899999999998</v>
      </c>
      <c r="U120" t="str">
        <f>IF(subscriptions[[#This Row],[feature_usage_pct]]&lt;30,"High Risk",IF(subscriptions[[#This Row],[feature_usage_pct]]&lt;60,"Medium Risk","Low Risk"))</f>
        <v>Medium Risk</v>
      </c>
      <c r="V120">
        <f ca="1">subscriptions[[#This Row],[CLV]]/200</f>
        <v>83.779499999999985</v>
      </c>
    </row>
    <row r="121" spans="1:22" x14ac:dyDescent="0.25">
      <c r="A121" t="s">
        <v>174</v>
      </c>
      <c r="B121" t="s">
        <v>18</v>
      </c>
      <c r="C121" t="s">
        <v>28</v>
      </c>
      <c r="D121" t="s">
        <v>32</v>
      </c>
      <c r="E121" s="2" t="s">
        <v>664</v>
      </c>
      <c r="F121">
        <v>2</v>
      </c>
      <c r="G121">
        <v>77.22</v>
      </c>
      <c r="H121" t="s">
        <v>34</v>
      </c>
      <c r="I121" t="s">
        <v>23</v>
      </c>
      <c r="J121" s="1">
        <v>44646</v>
      </c>
      <c r="K121" t="s">
        <v>26</v>
      </c>
      <c r="N121">
        <v>3</v>
      </c>
      <c r="O121">
        <v>4</v>
      </c>
      <c r="P121">
        <v>22</v>
      </c>
      <c r="Q121" t="s">
        <v>26</v>
      </c>
      <c r="R121">
        <f>IF(subscriptions[[#This Row],[churned]]="Yes",1,0)</f>
        <v>0</v>
      </c>
      <c r="S121">
        <f ca="1">IF(subscriptions[[#This Row],[churn_flag]]=1, DATEDIF(subscriptions[[#This Row],[signup_date]],subscriptions[[#This Row],[churn_date]],"M"), DATEDIF(subscriptions[[#This Row],[signup_date]],TODAY(),"M"))</f>
        <v>49</v>
      </c>
      <c r="T121">
        <f ca="1">subscriptions[[#This Row],[monthly_revenue]]*subscriptions[[#This Row],[customer_lifetime]]</f>
        <v>3783.7799999999997</v>
      </c>
      <c r="U121" t="str">
        <f>IF(subscriptions[[#This Row],[feature_usage_pct]]&lt;30,"High Risk",IF(subscriptions[[#This Row],[feature_usage_pct]]&lt;60,"Medium Risk","Low Risk"))</f>
        <v>High Risk</v>
      </c>
      <c r="V121">
        <f ca="1">subscriptions[[#This Row],[CLV]]/200</f>
        <v>18.918899999999997</v>
      </c>
    </row>
    <row r="122" spans="1:22" x14ac:dyDescent="0.25">
      <c r="A122" t="s">
        <v>175</v>
      </c>
      <c r="B122" t="s">
        <v>31</v>
      </c>
      <c r="C122" t="s">
        <v>28</v>
      </c>
      <c r="D122" t="s">
        <v>49</v>
      </c>
      <c r="E122" s="2" t="s">
        <v>663</v>
      </c>
      <c r="F122">
        <v>32</v>
      </c>
      <c r="G122">
        <v>139.27000000000001</v>
      </c>
      <c r="H122" t="s">
        <v>22</v>
      </c>
      <c r="I122" t="s">
        <v>23</v>
      </c>
      <c r="J122" s="1">
        <v>45856</v>
      </c>
      <c r="K122" t="s">
        <v>26</v>
      </c>
      <c r="N122">
        <v>6</v>
      </c>
      <c r="O122">
        <v>2</v>
      </c>
      <c r="P122">
        <v>81</v>
      </c>
      <c r="Q122" t="s">
        <v>26</v>
      </c>
      <c r="R122">
        <f>IF(subscriptions[[#This Row],[churned]]="Yes",1,0)</f>
        <v>0</v>
      </c>
      <c r="S122">
        <f ca="1">IF(subscriptions[[#This Row],[churn_flag]]=1, DATEDIF(subscriptions[[#This Row],[signup_date]],subscriptions[[#This Row],[churn_date]],"M"), DATEDIF(subscriptions[[#This Row],[signup_date]],TODAY(),"M"))</f>
        <v>9</v>
      </c>
      <c r="T122">
        <f ca="1">subscriptions[[#This Row],[monthly_revenue]]*subscriptions[[#This Row],[customer_lifetime]]</f>
        <v>1253.43</v>
      </c>
      <c r="U122" t="str">
        <f>IF(subscriptions[[#This Row],[feature_usage_pct]]&lt;30,"High Risk",IF(subscriptions[[#This Row],[feature_usage_pct]]&lt;60,"Medium Risk","Low Risk"))</f>
        <v>Low Risk</v>
      </c>
      <c r="V122">
        <f ca="1">subscriptions[[#This Row],[CLV]]/200</f>
        <v>6.26715</v>
      </c>
    </row>
    <row r="123" spans="1:22" x14ac:dyDescent="0.25">
      <c r="A123" t="s">
        <v>176</v>
      </c>
      <c r="B123" t="s">
        <v>36</v>
      </c>
      <c r="C123" t="s">
        <v>19</v>
      </c>
      <c r="D123" t="s">
        <v>40</v>
      </c>
      <c r="E123" s="2" t="s">
        <v>21</v>
      </c>
      <c r="F123">
        <v>72</v>
      </c>
      <c r="G123">
        <v>2318.35</v>
      </c>
      <c r="H123" t="s">
        <v>60</v>
      </c>
      <c r="I123" t="s">
        <v>23</v>
      </c>
      <c r="J123" s="1">
        <v>45480</v>
      </c>
      <c r="K123" t="s">
        <v>26</v>
      </c>
      <c r="N123">
        <v>4</v>
      </c>
      <c r="O123">
        <v>7</v>
      </c>
      <c r="P123">
        <v>50</v>
      </c>
      <c r="Q123" t="s">
        <v>24</v>
      </c>
      <c r="R123">
        <f>IF(subscriptions[[#This Row],[churned]]="Yes",1,0)</f>
        <v>0</v>
      </c>
      <c r="S123">
        <f ca="1">IF(subscriptions[[#This Row],[churn_flag]]=1, DATEDIF(subscriptions[[#This Row],[signup_date]],subscriptions[[#This Row],[churn_date]],"M"), DATEDIF(subscriptions[[#This Row],[signup_date]],TODAY(),"M"))</f>
        <v>22</v>
      </c>
      <c r="T123">
        <f ca="1">subscriptions[[#This Row],[monthly_revenue]]*subscriptions[[#This Row],[customer_lifetime]]</f>
        <v>51003.7</v>
      </c>
      <c r="U123" t="str">
        <f>IF(subscriptions[[#This Row],[feature_usage_pct]]&lt;30,"High Risk",IF(subscriptions[[#This Row],[feature_usage_pct]]&lt;60,"Medium Risk","Low Risk"))</f>
        <v>Medium Risk</v>
      </c>
      <c r="V123">
        <f ca="1">subscriptions[[#This Row],[CLV]]/200</f>
        <v>255.01849999999999</v>
      </c>
    </row>
    <row r="124" spans="1:22" x14ac:dyDescent="0.25">
      <c r="A124" t="s">
        <v>177</v>
      </c>
      <c r="B124" t="s">
        <v>31</v>
      </c>
      <c r="C124" t="s">
        <v>28</v>
      </c>
      <c r="D124" t="s">
        <v>52</v>
      </c>
      <c r="E124" s="2" t="s">
        <v>21</v>
      </c>
      <c r="F124">
        <v>26</v>
      </c>
      <c r="G124">
        <v>117.09</v>
      </c>
      <c r="H124" t="s">
        <v>22</v>
      </c>
      <c r="I124" t="s">
        <v>55</v>
      </c>
      <c r="J124" s="1">
        <v>45486</v>
      </c>
      <c r="K124" t="s">
        <v>26</v>
      </c>
      <c r="N124">
        <v>4</v>
      </c>
      <c r="O124">
        <v>4</v>
      </c>
      <c r="P124">
        <v>48</v>
      </c>
      <c r="Q124" t="s">
        <v>26</v>
      </c>
      <c r="R124">
        <f>IF(subscriptions[[#This Row],[churned]]="Yes",1,0)</f>
        <v>0</v>
      </c>
      <c r="S124">
        <f ca="1">IF(subscriptions[[#This Row],[churn_flag]]=1, DATEDIF(subscriptions[[#This Row],[signup_date]],subscriptions[[#This Row],[churn_date]],"M"), DATEDIF(subscriptions[[#This Row],[signup_date]],TODAY(),"M"))</f>
        <v>22</v>
      </c>
      <c r="T124">
        <f ca="1">subscriptions[[#This Row],[monthly_revenue]]*subscriptions[[#This Row],[customer_lifetime]]</f>
        <v>2575.98</v>
      </c>
      <c r="U124" t="str">
        <f>IF(subscriptions[[#This Row],[feature_usage_pct]]&lt;30,"High Risk",IF(subscriptions[[#This Row],[feature_usage_pct]]&lt;60,"Medium Risk","Low Risk"))</f>
        <v>Medium Risk</v>
      </c>
      <c r="V124">
        <f ca="1">subscriptions[[#This Row],[CLV]]/200</f>
        <v>12.879899999999999</v>
      </c>
    </row>
    <row r="125" spans="1:22" x14ac:dyDescent="0.25">
      <c r="A125" t="s">
        <v>178</v>
      </c>
      <c r="B125" t="s">
        <v>18</v>
      </c>
      <c r="C125" t="s">
        <v>19</v>
      </c>
      <c r="D125" t="s">
        <v>68</v>
      </c>
      <c r="E125" s="2" t="s">
        <v>21</v>
      </c>
      <c r="F125">
        <v>71</v>
      </c>
      <c r="G125">
        <v>908.5</v>
      </c>
      <c r="H125" t="s">
        <v>43</v>
      </c>
      <c r="I125" t="s">
        <v>23</v>
      </c>
      <c r="J125" s="1">
        <v>44910</v>
      </c>
      <c r="K125" t="s">
        <v>26</v>
      </c>
      <c r="N125">
        <v>2</v>
      </c>
      <c r="O125">
        <v>5</v>
      </c>
      <c r="P125">
        <v>31</v>
      </c>
      <c r="Q125" t="s">
        <v>26</v>
      </c>
      <c r="R125">
        <f>IF(subscriptions[[#This Row],[churned]]="Yes",1,0)</f>
        <v>0</v>
      </c>
      <c r="S125">
        <f ca="1">IF(subscriptions[[#This Row],[churn_flag]]=1, DATEDIF(subscriptions[[#This Row],[signup_date]],subscriptions[[#This Row],[churn_date]],"M"), DATEDIF(subscriptions[[#This Row],[signup_date]],TODAY(),"M"))</f>
        <v>40</v>
      </c>
      <c r="T125">
        <f ca="1">subscriptions[[#This Row],[monthly_revenue]]*subscriptions[[#This Row],[customer_lifetime]]</f>
        <v>36340</v>
      </c>
      <c r="U125" t="str">
        <f>IF(subscriptions[[#This Row],[feature_usage_pct]]&lt;30,"High Risk",IF(subscriptions[[#This Row],[feature_usage_pct]]&lt;60,"Medium Risk","Low Risk"))</f>
        <v>Medium Risk</v>
      </c>
      <c r="V125">
        <f ca="1">subscriptions[[#This Row],[CLV]]/200</f>
        <v>181.7</v>
      </c>
    </row>
    <row r="126" spans="1:22" x14ac:dyDescent="0.25">
      <c r="A126" t="s">
        <v>179</v>
      </c>
      <c r="B126" t="s">
        <v>36</v>
      </c>
      <c r="C126" t="s">
        <v>28</v>
      </c>
      <c r="D126" t="s">
        <v>68</v>
      </c>
      <c r="E126" s="2" t="s">
        <v>664</v>
      </c>
      <c r="F126">
        <v>4</v>
      </c>
      <c r="G126">
        <v>245.27</v>
      </c>
      <c r="H126" t="s">
        <v>60</v>
      </c>
      <c r="I126" t="s">
        <v>38</v>
      </c>
      <c r="J126" s="1">
        <v>45728</v>
      </c>
      <c r="K126" t="s">
        <v>26</v>
      </c>
      <c r="N126">
        <v>11</v>
      </c>
      <c r="O126">
        <v>6</v>
      </c>
      <c r="P126">
        <v>36</v>
      </c>
      <c r="Q126" t="s">
        <v>24</v>
      </c>
      <c r="R126">
        <f>IF(subscriptions[[#This Row],[churned]]="Yes",1,0)</f>
        <v>0</v>
      </c>
      <c r="S126">
        <f ca="1">IF(subscriptions[[#This Row],[churn_flag]]=1, DATEDIF(subscriptions[[#This Row],[signup_date]],subscriptions[[#This Row],[churn_date]],"M"), DATEDIF(subscriptions[[#This Row],[signup_date]],TODAY(),"M"))</f>
        <v>14</v>
      </c>
      <c r="T126">
        <f ca="1">subscriptions[[#This Row],[monthly_revenue]]*subscriptions[[#This Row],[customer_lifetime]]</f>
        <v>3433.78</v>
      </c>
      <c r="U126" t="str">
        <f>IF(subscriptions[[#This Row],[feature_usage_pct]]&lt;30,"High Risk",IF(subscriptions[[#This Row],[feature_usage_pct]]&lt;60,"Medium Risk","Low Risk"))</f>
        <v>Medium Risk</v>
      </c>
      <c r="V126">
        <f ca="1">subscriptions[[#This Row],[CLV]]/200</f>
        <v>17.168900000000001</v>
      </c>
    </row>
    <row r="127" spans="1:22" x14ac:dyDescent="0.25">
      <c r="A127" t="s">
        <v>180</v>
      </c>
      <c r="B127" t="s">
        <v>18</v>
      </c>
      <c r="C127" t="s">
        <v>19</v>
      </c>
      <c r="D127" t="s">
        <v>52</v>
      </c>
      <c r="E127" s="2" t="s">
        <v>663</v>
      </c>
      <c r="F127">
        <v>20</v>
      </c>
      <c r="G127">
        <v>304.14999999999998</v>
      </c>
      <c r="H127" t="s">
        <v>22</v>
      </c>
      <c r="I127" t="s">
        <v>23</v>
      </c>
      <c r="J127" s="1">
        <v>45091</v>
      </c>
      <c r="K127" t="s">
        <v>26</v>
      </c>
      <c r="N127">
        <v>1</v>
      </c>
      <c r="O127">
        <v>5</v>
      </c>
      <c r="P127">
        <v>40</v>
      </c>
      <c r="Q127" t="s">
        <v>24</v>
      </c>
      <c r="R127">
        <f>IF(subscriptions[[#This Row],[churned]]="Yes",1,0)</f>
        <v>0</v>
      </c>
      <c r="S127">
        <f ca="1">IF(subscriptions[[#This Row],[churn_flag]]=1, DATEDIF(subscriptions[[#This Row],[signup_date]],subscriptions[[#This Row],[churn_date]],"M"), DATEDIF(subscriptions[[#This Row],[signup_date]],TODAY(),"M"))</f>
        <v>34</v>
      </c>
      <c r="T127">
        <f ca="1">subscriptions[[#This Row],[monthly_revenue]]*subscriptions[[#This Row],[customer_lifetime]]</f>
        <v>10341.099999999999</v>
      </c>
      <c r="U127" t="str">
        <f>IF(subscriptions[[#This Row],[feature_usage_pct]]&lt;30,"High Risk",IF(subscriptions[[#This Row],[feature_usage_pct]]&lt;60,"Medium Risk","Low Risk"))</f>
        <v>Medium Risk</v>
      </c>
      <c r="V127">
        <f ca="1">subscriptions[[#This Row],[CLV]]/200</f>
        <v>51.705499999999994</v>
      </c>
    </row>
    <row r="128" spans="1:22" x14ac:dyDescent="0.25">
      <c r="A128" t="s">
        <v>181</v>
      </c>
      <c r="B128" t="s">
        <v>31</v>
      </c>
      <c r="C128" t="s">
        <v>19</v>
      </c>
      <c r="D128" t="s">
        <v>79</v>
      </c>
      <c r="E128" s="2" t="s">
        <v>663</v>
      </c>
      <c r="F128">
        <v>27</v>
      </c>
      <c r="G128">
        <v>142.1</v>
      </c>
      <c r="H128" t="s">
        <v>60</v>
      </c>
      <c r="I128" t="s">
        <v>23</v>
      </c>
      <c r="J128" s="1">
        <v>45636</v>
      </c>
      <c r="K128" t="s">
        <v>24</v>
      </c>
      <c r="L128" s="1">
        <v>45672</v>
      </c>
      <c r="M128" t="s">
        <v>56</v>
      </c>
      <c r="N128">
        <v>3</v>
      </c>
      <c r="O128">
        <v>3</v>
      </c>
      <c r="P128">
        <v>38</v>
      </c>
      <c r="Q128" t="s">
        <v>26</v>
      </c>
      <c r="R128">
        <f>IF(subscriptions[[#This Row],[churned]]="Yes",1,0)</f>
        <v>1</v>
      </c>
      <c r="S128">
        <f ca="1">IF(subscriptions[[#This Row],[churn_flag]]=1, DATEDIF(subscriptions[[#This Row],[signup_date]],subscriptions[[#This Row],[churn_date]],"M"), DATEDIF(subscriptions[[#This Row],[signup_date]],TODAY(),"M"))</f>
        <v>1</v>
      </c>
      <c r="T128">
        <f ca="1">subscriptions[[#This Row],[monthly_revenue]]*subscriptions[[#This Row],[customer_lifetime]]</f>
        <v>142.1</v>
      </c>
      <c r="U128" t="str">
        <f>IF(subscriptions[[#This Row],[feature_usage_pct]]&lt;30,"High Risk",IF(subscriptions[[#This Row],[feature_usage_pct]]&lt;60,"Medium Risk","Low Risk"))</f>
        <v>Medium Risk</v>
      </c>
      <c r="V128">
        <f ca="1">subscriptions[[#This Row],[CLV]]/200</f>
        <v>0.71050000000000002</v>
      </c>
    </row>
    <row r="129" spans="1:22" x14ac:dyDescent="0.25">
      <c r="A129" t="s">
        <v>182</v>
      </c>
      <c r="B129" t="s">
        <v>31</v>
      </c>
      <c r="C129" t="s">
        <v>19</v>
      </c>
      <c r="D129" t="s">
        <v>20</v>
      </c>
      <c r="E129" s="2" t="s">
        <v>45</v>
      </c>
      <c r="F129">
        <v>46</v>
      </c>
      <c r="G129">
        <v>224.75</v>
      </c>
      <c r="H129" t="s">
        <v>60</v>
      </c>
      <c r="I129" t="s">
        <v>55</v>
      </c>
      <c r="J129" s="1">
        <v>44925</v>
      </c>
      <c r="K129" t="s">
        <v>24</v>
      </c>
      <c r="L129" s="1">
        <v>45040</v>
      </c>
      <c r="M129" t="s">
        <v>63</v>
      </c>
      <c r="N129">
        <v>10</v>
      </c>
      <c r="O129">
        <v>2</v>
      </c>
      <c r="P129">
        <v>33</v>
      </c>
      <c r="Q129" t="s">
        <v>26</v>
      </c>
      <c r="R129">
        <f>IF(subscriptions[[#This Row],[churned]]="Yes",1,0)</f>
        <v>1</v>
      </c>
      <c r="S129">
        <f ca="1">IF(subscriptions[[#This Row],[churn_flag]]=1, DATEDIF(subscriptions[[#This Row],[signup_date]],subscriptions[[#This Row],[churn_date]],"M"), DATEDIF(subscriptions[[#This Row],[signup_date]],TODAY(),"M"))</f>
        <v>3</v>
      </c>
      <c r="T129">
        <f ca="1">subscriptions[[#This Row],[monthly_revenue]]*subscriptions[[#This Row],[customer_lifetime]]</f>
        <v>674.25</v>
      </c>
      <c r="U129" t="str">
        <f>IF(subscriptions[[#This Row],[feature_usage_pct]]&lt;30,"High Risk",IF(subscriptions[[#This Row],[feature_usage_pct]]&lt;60,"Medium Risk","Low Risk"))</f>
        <v>Medium Risk</v>
      </c>
      <c r="V129">
        <f ca="1">subscriptions[[#This Row],[CLV]]/200</f>
        <v>3.3712499999999999</v>
      </c>
    </row>
    <row r="130" spans="1:22" x14ac:dyDescent="0.25">
      <c r="A130" t="s">
        <v>183</v>
      </c>
      <c r="B130" t="s">
        <v>31</v>
      </c>
      <c r="C130" t="s">
        <v>19</v>
      </c>
      <c r="D130" t="s">
        <v>32</v>
      </c>
      <c r="E130" s="2" t="s">
        <v>21</v>
      </c>
      <c r="F130">
        <v>31</v>
      </c>
      <c r="G130">
        <v>159.5</v>
      </c>
      <c r="H130" t="s">
        <v>43</v>
      </c>
      <c r="I130" t="s">
        <v>23</v>
      </c>
      <c r="J130" s="1">
        <v>44797</v>
      </c>
      <c r="K130" t="s">
        <v>24</v>
      </c>
      <c r="L130" s="1">
        <v>44831</v>
      </c>
      <c r="M130" t="s">
        <v>82</v>
      </c>
      <c r="N130">
        <v>10</v>
      </c>
      <c r="O130">
        <v>4</v>
      </c>
      <c r="P130">
        <v>22</v>
      </c>
      <c r="Q130" t="s">
        <v>26</v>
      </c>
      <c r="R130">
        <f>IF(subscriptions[[#This Row],[churned]]="Yes",1,0)</f>
        <v>1</v>
      </c>
      <c r="S130">
        <f ca="1">IF(subscriptions[[#This Row],[churn_flag]]=1, DATEDIF(subscriptions[[#This Row],[signup_date]],subscriptions[[#This Row],[churn_date]],"M"), DATEDIF(subscriptions[[#This Row],[signup_date]],TODAY(),"M"))</f>
        <v>1</v>
      </c>
      <c r="T130">
        <f ca="1">subscriptions[[#This Row],[monthly_revenue]]*subscriptions[[#This Row],[customer_lifetime]]</f>
        <v>159.5</v>
      </c>
      <c r="U130" t="str">
        <f>IF(subscriptions[[#This Row],[feature_usage_pct]]&lt;30,"High Risk",IF(subscriptions[[#This Row],[feature_usage_pct]]&lt;60,"Medium Risk","Low Risk"))</f>
        <v>High Risk</v>
      </c>
      <c r="V130">
        <f ca="1">subscriptions[[#This Row],[CLV]]/200</f>
        <v>0.79749999999999999</v>
      </c>
    </row>
    <row r="131" spans="1:22" x14ac:dyDescent="0.25">
      <c r="A131" t="s">
        <v>184</v>
      </c>
      <c r="B131" t="s">
        <v>18</v>
      </c>
      <c r="C131" t="s">
        <v>19</v>
      </c>
      <c r="D131" t="s">
        <v>40</v>
      </c>
      <c r="E131" s="2" t="s">
        <v>664</v>
      </c>
      <c r="F131">
        <v>8</v>
      </c>
      <c r="G131">
        <v>161.94999999999999</v>
      </c>
      <c r="H131" t="s">
        <v>22</v>
      </c>
      <c r="I131" t="s">
        <v>69</v>
      </c>
      <c r="J131" s="1">
        <v>45842</v>
      </c>
      <c r="K131" t="s">
        <v>26</v>
      </c>
      <c r="N131">
        <v>6</v>
      </c>
      <c r="O131">
        <v>1</v>
      </c>
      <c r="P131">
        <v>68</v>
      </c>
      <c r="Q131" t="s">
        <v>26</v>
      </c>
      <c r="R131">
        <f>IF(subscriptions[[#This Row],[churned]]="Yes",1,0)</f>
        <v>0</v>
      </c>
      <c r="S131">
        <f ca="1">IF(subscriptions[[#This Row],[churn_flag]]=1, DATEDIF(subscriptions[[#This Row],[signup_date]],subscriptions[[#This Row],[churn_date]],"M"), DATEDIF(subscriptions[[#This Row],[signup_date]],TODAY(),"M"))</f>
        <v>10</v>
      </c>
      <c r="T131">
        <f ca="1">subscriptions[[#This Row],[monthly_revenue]]*subscriptions[[#This Row],[customer_lifetime]]</f>
        <v>1619.5</v>
      </c>
      <c r="U131" t="str">
        <f>IF(subscriptions[[#This Row],[feature_usage_pct]]&lt;30,"High Risk",IF(subscriptions[[#This Row],[feature_usage_pct]]&lt;60,"Medium Risk","Low Risk"))</f>
        <v>Low Risk</v>
      </c>
      <c r="V131">
        <f ca="1">subscriptions[[#This Row],[CLV]]/200</f>
        <v>8.0975000000000001</v>
      </c>
    </row>
    <row r="132" spans="1:22" x14ac:dyDescent="0.25">
      <c r="A132" t="s">
        <v>185</v>
      </c>
      <c r="B132" t="s">
        <v>36</v>
      </c>
      <c r="C132" t="s">
        <v>28</v>
      </c>
      <c r="D132" t="s">
        <v>68</v>
      </c>
      <c r="E132" s="2" t="s">
        <v>663</v>
      </c>
      <c r="F132">
        <v>6</v>
      </c>
      <c r="G132">
        <v>296.01</v>
      </c>
      <c r="H132" t="s">
        <v>34</v>
      </c>
      <c r="I132" t="s">
        <v>69</v>
      </c>
      <c r="J132" s="1">
        <v>45659</v>
      </c>
      <c r="K132" t="s">
        <v>26</v>
      </c>
      <c r="N132">
        <v>11</v>
      </c>
      <c r="O132">
        <v>9</v>
      </c>
      <c r="P132">
        <v>36</v>
      </c>
      <c r="Q132" t="s">
        <v>26</v>
      </c>
      <c r="R132">
        <f>IF(subscriptions[[#This Row],[churned]]="Yes",1,0)</f>
        <v>0</v>
      </c>
      <c r="S132">
        <f ca="1">IF(subscriptions[[#This Row],[churn_flag]]=1, DATEDIF(subscriptions[[#This Row],[signup_date]],subscriptions[[#This Row],[churn_date]],"M"), DATEDIF(subscriptions[[#This Row],[signup_date]],TODAY(),"M"))</f>
        <v>16</v>
      </c>
      <c r="T132">
        <f ca="1">subscriptions[[#This Row],[monthly_revenue]]*subscriptions[[#This Row],[customer_lifetime]]</f>
        <v>4736.16</v>
      </c>
      <c r="U132" t="str">
        <f>IF(subscriptions[[#This Row],[feature_usage_pct]]&lt;30,"High Risk",IF(subscriptions[[#This Row],[feature_usage_pct]]&lt;60,"Medium Risk","Low Risk"))</f>
        <v>Medium Risk</v>
      </c>
      <c r="V132">
        <f ca="1">subscriptions[[#This Row],[CLV]]/200</f>
        <v>23.680799999999998</v>
      </c>
    </row>
    <row r="133" spans="1:22" x14ac:dyDescent="0.25">
      <c r="A133" t="s">
        <v>186</v>
      </c>
      <c r="B133" t="s">
        <v>31</v>
      </c>
      <c r="C133" t="s">
        <v>28</v>
      </c>
      <c r="D133" t="s">
        <v>79</v>
      </c>
      <c r="E133" s="2" t="s">
        <v>664</v>
      </c>
      <c r="F133">
        <v>8</v>
      </c>
      <c r="G133">
        <v>50.53</v>
      </c>
      <c r="H133" t="s">
        <v>98</v>
      </c>
      <c r="I133" t="s">
        <v>23</v>
      </c>
      <c r="J133" s="1">
        <v>45950</v>
      </c>
      <c r="K133" t="s">
        <v>26</v>
      </c>
      <c r="N133">
        <v>7</v>
      </c>
      <c r="O133">
        <v>3</v>
      </c>
      <c r="P133">
        <v>90</v>
      </c>
      <c r="Q133" t="s">
        <v>26</v>
      </c>
      <c r="R133">
        <f>IF(subscriptions[[#This Row],[churned]]="Yes",1,0)</f>
        <v>0</v>
      </c>
      <c r="S133">
        <f ca="1">IF(subscriptions[[#This Row],[churn_flag]]=1, DATEDIF(subscriptions[[#This Row],[signup_date]],subscriptions[[#This Row],[churn_date]],"M"), DATEDIF(subscriptions[[#This Row],[signup_date]],TODAY(),"M"))</f>
        <v>6</v>
      </c>
      <c r="T133">
        <f ca="1">subscriptions[[#This Row],[monthly_revenue]]*subscriptions[[#This Row],[customer_lifetime]]</f>
        <v>303.18</v>
      </c>
      <c r="U133" t="str">
        <f>IF(subscriptions[[#This Row],[feature_usage_pct]]&lt;30,"High Risk",IF(subscriptions[[#This Row],[feature_usage_pct]]&lt;60,"Medium Risk","Low Risk"))</f>
        <v>Low Risk</v>
      </c>
      <c r="V133">
        <f ca="1">subscriptions[[#This Row],[CLV]]/200</f>
        <v>1.5159</v>
      </c>
    </row>
    <row r="134" spans="1:22" x14ac:dyDescent="0.25">
      <c r="A134" t="s">
        <v>187</v>
      </c>
      <c r="B134" t="s">
        <v>71</v>
      </c>
      <c r="C134" t="s">
        <v>19</v>
      </c>
      <c r="D134" t="s">
        <v>79</v>
      </c>
      <c r="E134" s="2" t="s">
        <v>664</v>
      </c>
      <c r="F134">
        <v>1</v>
      </c>
      <c r="G134">
        <v>499</v>
      </c>
      <c r="H134" t="s">
        <v>43</v>
      </c>
      <c r="I134" t="s">
        <v>23</v>
      </c>
      <c r="J134" s="1">
        <v>45727</v>
      </c>
      <c r="K134" t="s">
        <v>26</v>
      </c>
      <c r="N134">
        <v>7</v>
      </c>
      <c r="O134">
        <v>8</v>
      </c>
      <c r="P134">
        <v>22</v>
      </c>
      <c r="Q134" t="s">
        <v>26</v>
      </c>
      <c r="R134">
        <f>IF(subscriptions[[#This Row],[churned]]="Yes",1,0)</f>
        <v>0</v>
      </c>
      <c r="S134">
        <f ca="1">IF(subscriptions[[#This Row],[churn_flag]]=1, DATEDIF(subscriptions[[#This Row],[signup_date]],subscriptions[[#This Row],[churn_date]],"M"), DATEDIF(subscriptions[[#This Row],[signup_date]],TODAY(),"M"))</f>
        <v>14</v>
      </c>
      <c r="T134">
        <f ca="1">subscriptions[[#This Row],[monthly_revenue]]*subscriptions[[#This Row],[customer_lifetime]]</f>
        <v>6986</v>
      </c>
      <c r="U134" t="str">
        <f>IF(subscriptions[[#This Row],[feature_usage_pct]]&lt;30,"High Risk",IF(subscriptions[[#This Row],[feature_usage_pct]]&lt;60,"Medium Risk","Low Risk"))</f>
        <v>High Risk</v>
      </c>
      <c r="V134">
        <f ca="1">subscriptions[[#This Row],[CLV]]/200</f>
        <v>34.93</v>
      </c>
    </row>
    <row r="135" spans="1:22" x14ac:dyDescent="0.25">
      <c r="A135" t="s">
        <v>188</v>
      </c>
      <c r="B135" t="s">
        <v>36</v>
      </c>
      <c r="C135" t="s">
        <v>28</v>
      </c>
      <c r="D135" t="s">
        <v>40</v>
      </c>
      <c r="E135" s="2" t="s">
        <v>21</v>
      </c>
      <c r="F135">
        <v>71</v>
      </c>
      <c r="G135">
        <v>1945.22</v>
      </c>
      <c r="H135" t="s">
        <v>43</v>
      </c>
      <c r="I135" t="s">
        <v>69</v>
      </c>
      <c r="J135" s="1">
        <v>44607</v>
      </c>
      <c r="K135" t="s">
        <v>24</v>
      </c>
      <c r="L135" s="1">
        <v>45848</v>
      </c>
      <c r="M135" t="s">
        <v>82</v>
      </c>
      <c r="N135">
        <v>11</v>
      </c>
      <c r="O135">
        <v>5</v>
      </c>
      <c r="P135">
        <v>31</v>
      </c>
      <c r="Q135" t="s">
        <v>26</v>
      </c>
      <c r="R135">
        <f>IF(subscriptions[[#This Row],[churned]]="Yes",1,0)</f>
        <v>1</v>
      </c>
      <c r="S135">
        <f ca="1">IF(subscriptions[[#This Row],[churn_flag]]=1, DATEDIF(subscriptions[[#This Row],[signup_date]],subscriptions[[#This Row],[churn_date]],"M"), DATEDIF(subscriptions[[#This Row],[signup_date]],TODAY(),"M"))</f>
        <v>40</v>
      </c>
      <c r="T135">
        <f ca="1">subscriptions[[#This Row],[monthly_revenue]]*subscriptions[[#This Row],[customer_lifetime]]</f>
        <v>77808.800000000003</v>
      </c>
      <c r="U135" t="str">
        <f>IF(subscriptions[[#This Row],[feature_usage_pct]]&lt;30,"High Risk",IF(subscriptions[[#This Row],[feature_usage_pct]]&lt;60,"Medium Risk","Low Risk"))</f>
        <v>Medium Risk</v>
      </c>
      <c r="V135">
        <f ca="1">subscriptions[[#This Row],[CLV]]/200</f>
        <v>389.04400000000004</v>
      </c>
    </row>
    <row r="136" spans="1:22" x14ac:dyDescent="0.25">
      <c r="A136" t="s">
        <v>189</v>
      </c>
      <c r="B136" t="s">
        <v>18</v>
      </c>
      <c r="C136" t="s">
        <v>19</v>
      </c>
      <c r="D136" t="s">
        <v>20</v>
      </c>
      <c r="E136" s="2" t="s">
        <v>663</v>
      </c>
      <c r="F136">
        <v>25</v>
      </c>
      <c r="G136">
        <v>363.4</v>
      </c>
      <c r="H136" t="s">
        <v>60</v>
      </c>
      <c r="I136" t="s">
        <v>55</v>
      </c>
      <c r="J136" s="1">
        <v>44789</v>
      </c>
      <c r="K136" t="s">
        <v>26</v>
      </c>
      <c r="N136">
        <v>5</v>
      </c>
      <c r="O136">
        <v>9</v>
      </c>
      <c r="P136">
        <v>85</v>
      </c>
      <c r="Q136" t="s">
        <v>26</v>
      </c>
      <c r="R136">
        <f>IF(subscriptions[[#This Row],[churned]]="Yes",1,0)</f>
        <v>0</v>
      </c>
      <c r="S136">
        <f ca="1">IF(subscriptions[[#This Row],[churn_flag]]=1, DATEDIF(subscriptions[[#This Row],[signup_date]],subscriptions[[#This Row],[churn_date]],"M"), DATEDIF(subscriptions[[#This Row],[signup_date]],TODAY(),"M"))</f>
        <v>44</v>
      </c>
      <c r="T136">
        <f ca="1">subscriptions[[#This Row],[monthly_revenue]]*subscriptions[[#This Row],[customer_lifetime]]</f>
        <v>15989.599999999999</v>
      </c>
      <c r="U136" t="str">
        <f>IF(subscriptions[[#This Row],[feature_usage_pct]]&lt;30,"High Risk",IF(subscriptions[[#This Row],[feature_usage_pct]]&lt;60,"Medium Risk","Low Risk"))</f>
        <v>Low Risk</v>
      </c>
      <c r="V136">
        <f ca="1">subscriptions[[#This Row],[CLV]]/200</f>
        <v>79.947999999999993</v>
      </c>
    </row>
    <row r="137" spans="1:22" x14ac:dyDescent="0.25">
      <c r="A137" t="s">
        <v>190</v>
      </c>
      <c r="B137" t="s">
        <v>18</v>
      </c>
      <c r="C137" t="s">
        <v>28</v>
      </c>
      <c r="D137" t="s">
        <v>42</v>
      </c>
      <c r="E137" s="2" t="s">
        <v>33</v>
      </c>
      <c r="F137">
        <v>106</v>
      </c>
      <c r="G137">
        <v>1124.76</v>
      </c>
      <c r="H137" t="s">
        <v>34</v>
      </c>
      <c r="I137" t="s">
        <v>23</v>
      </c>
      <c r="J137" s="1">
        <v>44626</v>
      </c>
      <c r="K137" t="s">
        <v>26</v>
      </c>
      <c r="N137">
        <v>4</v>
      </c>
      <c r="O137">
        <v>4</v>
      </c>
      <c r="P137">
        <v>87</v>
      </c>
      <c r="Q137" t="s">
        <v>26</v>
      </c>
      <c r="R137">
        <f>IF(subscriptions[[#This Row],[churned]]="Yes",1,0)</f>
        <v>0</v>
      </c>
      <c r="S137">
        <f ca="1">IF(subscriptions[[#This Row],[churn_flag]]=1, DATEDIF(subscriptions[[#This Row],[signup_date]],subscriptions[[#This Row],[churn_date]],"M"), DATEDIF(subscriptions[[#This Row],[signup_date]],TODAY(),"M"))</f>
        <v>50</v>
      </c>
      <c r="T137">
        <f ca="1">subscriptions[[#This Row],[monthly_revenue]]*subscriptions[[#This Row],[customer_lifetime]]</f>
        <v>56238</v>
      </c>
      <c r="U137" t="str">
        <f>IF(subscriptions[[#This Row],[feature_usage_pct]]&lt;30,"High Risk",IF(subscriptions[[#This Row],[feature_usage_pct]]&lt;60,"Medium Risk","Low Risk"))</f>
        <v>Low Risk</v>
      </c>
      <c r="V137">
        <f ca="1">subscriptions[[#This Row],[CLV]]/200</f>
        <v>281.19</v>
      </c>
    </row>
    <row r="138" spans="1:22" x14ac:dyDescent="0.25">
      <c r="A138" t="s">
        <v>191</v>
      </c>
      <c r="B138" t="s">
        <v>31</v>
      </c>
      <c r="C138" t="s">
        <v>28</v>
      </c>
      <c r="D138" t="s">
        <v>37</v>
      </c>
      <c r="E138" s="2" t="s">
        <v>663</v>
      </c>
      <c r="F138">
        <v>9</v>
      </c>
      <c r="G138">
        <v>54.23</v>
      </c>
      <c r="H138" t="s">
        <v>22</v>
      </c>
      <c r="I138" t="s">
        <v>23</v>
      </c>
      <c r="J138" s="1">
        <v>45053</v>
      </c>
      <c r="K138" t="s">
        <v>24</v>
      </c>
      <c r="L138" s="1">
        <v>45338</v>
      </c>
      <c r="M138" t="s">
        <v>46</v>
      </c>
      <c r="N138">
        <v>4</v>
      </c>
      <c r="O138">
        <v>2</v>
      </c>
      <c r="P138">
        <v>41</v>
      </c>
      <c r="Q138" t="s">
        <v>26</v>
      </c>
      <c r="R138">
        <f>IF(subscriptions[[#This Row],[churned]]="Yes",1,0)</f>
        <v>1</v>
      </c>
      <c r="S138">
        <f ca="1">IF(subscriptions[[#This Row],[churn_flag]]=1, DATEDIF(subscriptions[[#This Row],[signup_date]],subscriptions[[#This Row],[churn_date]],"M"), DATEDIF(subscriptions[[#This Row],[signup_date]],TODAY(),"M"))</f>
        <v>9</v>
      </c>
      <c r="T138">
        <f ca="1">subscriptions[[#This Row],[monthly_revenue]]*subscriptions[[#This Row],[customer_lifetime]]</f>
        <v>488.07</v>
      </c>
      <c r="U138" t="str">
        <f>IF(subscriptions[[#This Row],[feature_usage_pct]]&lt;30,"High Risk",IF(subscriptions[[#This Row],[feature_usage_pct]]&lt;60,"Medium Risk","Low Risk"))</f>
        <v>Medium Risk</v>
      </c>
      <c r="V138">
        <f ca="1">subscriptions[[#This Row],[CLV]]/200</f>
        <v>2.44035</v>
      </c>
    </row>
    <row r="139" spans="1:22" x14ac:dyDescent="0.25">
      <c r="A139" t="s">
        <v>192</v>
      </c>
      <c r="B139" t="s">
        <v>31</v>
      </c>
      <c r="C139" t="s">
        <v>19</v>
      </c>
      <c r="D139" t="s">
        <v>52</v>
      </c>
      <c r="E139" s="2" t="s">
        <v>663</v>
      </c>
      <c r="F139">
        <v>21</v>
      </c>
      <c r="G139">
        <v>116</v>
      </c>
      <c r="H139" t="s">
        <v>29</v>
      </c>
      <c r="I139" t="s">
        <v>38</v>
      </c>
      <c r="J139" s="1">
        <v>44774</v>
      </c>
      <c r="K139" t="s">
        <v>24</v>
      </c>
      <c r="L139" s="1">
        <v>44812</v>
      </c>
      <c r="M139" t="s">
        <v>25</v>
      </c>
      <c r="N139">
        <v>1</v>
      </c>
      <c r="O139">
        <v>3</v>
      </c>
      <c r="P139">
        <v>19</v>
      </c>
      <c r="Q139" t="s">
        <v>26</v>
      </c>
      <c r="R139">
        <f>IF(subscriptions[[#This Row],[churned]]="Yes",1,0)</f>
        <v>1</v>
      </c>
      <c r="S139">
        <f ca="1">IF(subscriptions[[#This Row],[churn_flag]]=1, DATEDIF(subscriptions[[#This Row],[signup_date]],subscriptions[[#This Row],[churn_date]],"M"), DATEDIF(subscriptions[[#This Row],[signup_date]],TODAY(),"M"))</f>
        <v>1</v>
      </c>
      <c r="T139">
        <f ca="1">subscriptions[[#This Row],[monthly_revenue]]*subscriptions[[#This Row],[customer_lifetime]]</f>
        <v>116</v>
      </c>
      <c r="U139" t="str">
        <f>IF(subscriptions[[#This Row],[feature_usage_pct]]&lt;30,"High Risk",IF(subscriptions[[#This Row],[feature_usage_pct]]&lt;60,"Medium Risk","Low Risk"))</f>
        <v>High Risk</v>
      </c>
      <c r="V139">
        <f ca="1">subscriptions[[#This Row],[CLV]]/200</f>
        <v>0.57999999999999996</v>
      </c>
    </row>
    <row r="140" spans="1:22" x14ac:dyDescent="0.25">
      <c r="A140" t="s">
        <v>193</v>
      </c>
      <c r="B140" t="s">
        <v>31</v>
      </c>
      <c r="C140" t="s">
        <v>19</v>
      </c>
      <c r="D140" t="s">
        <v>32</v>
      </c>
      <c r="E140" s="2" t="s">
        <v>663</v>
      </c>
      <c r="F140">
        <v>5</v>
      </c>
      <c r="G140">
        <v>46.4</v>
      </c>
      <c r="H140" t="s">
        <v>43</v>
      </c>
      <c r="I140" t="s">
        <v>23</v>
      </c>
      <c r="J140" s="1">
        <v>45663</v>
      </c>
      <c r="K140" t="s">
        <v>24</v>
      </c>
      <c r="L140" s="1">
        <v>46010</v>
      </c>
      <c r="M140" t="s">
        <v>53</v>
      </c>
      <c r="N140">
        <v>7</v>
      </c>
      <c r="O140">
        <v>3</v>
      </c>
      <c r="P140">
        <v>22</v>
      </c>
      <c r="Q140" t="s">
        <v>26</v>
      </c>
      <c r="R140">
        <f>IF(subscriptions[[#This Row],[churned]]="Yes",1,0)</f>
        <v>1</v>
      </c>
      <c r="S140">
        <f ca="1">IF(subscriptions[[#This Row],[churn_flag]]=1, DATEDIF(subscriptions[[#This Row],[signup_date]],subscriptions[[#This Row],[churn_date]],"M"), DATEDIF(subscriptions[[#This Row],[signup_date]],TODAY(),"M"))</f>
        <v>11</v>
      </c>
      <c r="T140">
        <f ca="1">subscriptions[[#This Row],[monthly_revenue]]*subscriptions[[#This Row],[customer_lifetime]]</f>
        <v>510.4</v>
      </c>
      <c r="U140" t="str">
        <f>IF(subscriptions[[#This Row],[feature_usage_pct]]&lt;30,"High Risk",IF(subscriptions[[#This Row],[feature_usage_pct]]&lt;60,"Medium Risk","Low Risk"))</f>
        <v>High Risk</v>
      </c>
      <c r="V140">
        <f ca="1">subscriptions[[#This Row],[CLV]]/200</f>
        <v>2.552</v>
      </c>
    </row>
    <row r="141" spans="1:22" x14ac:dyDescent="0.25">
      <c r="A141" t="s">
        <v>194</v>
      </c>
      <c r="B141" t="s">
        <v>31</v>
      </c>
      <c r="C141" t="s">
        <v>19</v>
      </c>
      <c r="D141" t="s">
        <v>20</v>
      </c>
      <c r="E141" s="2" t="s">
        <v>45</v>
      </c>
      <c r="F141">
        <v>131</v>
      </c>
      <c r="G141">
        <v>594.5</v>
      </c>
      <c r="H141" t="s">
        <v>34</v>
      </c>
      <c r="I141" t="s">
        <v>23</v>
      </c>
      <c r="J141" s="1">
        <v>44613</v>
      </c>
      <c r="K141" t="s">
        <v>24</v>
      </c>
      <c r="L141" s="1">
        <v>44764</v>
      </c>
      <c r="M141" t="s">
        <v>56</v>
      </c>
      <c r="N141">
        <v>9</v>
      </c>
      <c r="O141">
        <v>3</v>
      </c>
      <c r="P141">
        <v>16</v>
      </c>
      <c r="Q141" t="s">
        <v>26</v>
      </c>
      <c r="R141">
        <f>IF(subscriptions[[#This Row],[churned]]="Yes",1,0)</f>
        <v>1</v>
      </c>
      <c r="S141">
        <f ca="1">IF(subscriptions[[#This Row],[churn_flag]]=1, DATEDIF(subscriptions[[#This Row],[signup_date]],subscriptions[[#This Row],[churn_date]],"M"), DATEDIF(subscriptions[[#This Row],[signup_date]],TODAY(),"M"))</f>
        <v>5</v>
      </c>
      <c r="T141">
        <f ca="1">subscriptions[[#This Row],[monthly_revenue]]*subscriptions[[#This Row],[customer_lifetime]]</f>
        <v>2972.5</v>
      </c>
      <c r="U141" t="str">
        <f>IF(subscriptions[[#This Row],[feature_usage_pct]]&lt;30,"High Risk",IF(subscriptions[[#This Row],[feature_usage_pct]]&lt;60,"Medium Risk","Low Risk"))</f>
        <v>High Risk</v>
      </c>
      <c r="V141">
        <f ca="1">subscriptions[[#This Row],[CLV]]/200</f>
        <v>14.862500000000001</v>
      </c>
    </row>
    <row r="142" spans="1:22" x14ac:dyDescent="0.25">
      <c r="A142" t="s">
        <v>195</v>
      </c>
      <c r="B142" t="s">
        <v>36</v>
      </c>
      <c r="C142" t="s">
        <v>28</v>
      </c>
      <c r="D142" t="s">
        <v>68</v>
      </c>
      <c r="E142" s="2" t="s">
        <v>21</v>
      </c>
      <c r="F142">
        <v>18</v>
      </c>
      <c r="G142">
        <v>600.48</v>
      </c>
      <c r="H142" t="s">
        <v>60</v>
      </c>
      <c r="I142" t="s">
        <v>23</v>
      </c>
      <c r="J142" s="1">
        <v>45368</v>
      </c>
      <c r="K142" t="s">
        <v>26</v>
      </c>
      <c r="N142">
        <v>8</v>
      </c>
      <c r="O142">
        <v>4</v>
      </c>
      <c r="P142">
        <v>33</v>
      </c>
      <c r="Q142" t="s">
        <v>26</v>
      </c>
      <c r="R142">
        <f>IF(subscriptions[[#This Row],[churned]]="Yes",1,0)</f>
        <v>0</v>
      </c>
      <c r="S142">
        <f ca="1">IF(subscriptions[[#This Row],[churn_flag]]=1, DATEDIF(subscriptions[[#This Row],[signup_date]],subscriptions[[#This Row],[churn_date]],"M"), DATEDIF(subscriptions[[#This Row],[signup_date]],TODAY(),"M"))</f>
        <v>25</v>
      </c>
      <c r="T142">
        <f ca="1">subscriptions[[#This Row],[monthly_revenue]]*subscriptions[[#This Row],[customer_lifetime]]</f>
        <v>15012</v>
      </c>
      <c r="U142" t="str">
        <f>IF(subscriptions[[#This Row],[feature_usage_pct]]&lt;30,"High Risk",IF(subscriptions[[#This Row],[feature_usage_pct]]&lt;60,"Medium Risk","Low Risk"))</f>
        <v>Medium Risk</v>
      </c>
      <c r="V142">
        <f ca="1">subscriptions[[#This Row],[CLV]]/200</f>
        <v>75.06</v>
      </c>
    </row>
    <row r="143" spans="1:22" x14ac:dyDescent="0.25">
      <c r="A143" t="s">
        <v>196</v>
      </c>
      <c r="B143" t="s">
        <v>31</v>
      </c>
      <c r="C143" t="s">
        <v>28</v>
      </c>
      <c r="D143" t="s">
        <v>62</v>
      </c>
      <c r="E143" s="2" t="s">
        <v>21</v>
      </c>
      <c r="F143">
        <v>28</v>
      </c>
      <c r="G143">
        <v>124.48</v>
      </c>
      <c r="H143" t="s">
        <v>98</v>
      </c>
      <c r="I143" t="s">
        <v>23</v>
      </c>
      <c r="J143" s="1">
        <v>45534</v>
      </c>
      <c r="K143" t="s">
        <v>26</v>
      </c>
      <c r="N143">
        <v>8</v>
      </c>
      <c r="O143">
        <v>3</v>
      </c>
      <c r="P143">
        <v>32</v>
      </c>
      <c r="Q143" t="s">
        <v>26</v>
      </c>
      <c r="R143">
        <f>IF(subscriptions[[#This Row],[churned]]="Yes",1,0)</f>
        <v>0</v>
      </c>
      <c r="S143">
        <f ca="1">IF(subscriptions[[#This Row],[churn_flag]]=1, DATEDIF(subscriptions[[#This Row],[signup_date]],subscriptions[[#This Row],[churn_date]],"M"), DATEDIF(subscriptions[[#This Row],[signup_date]],TODAY(),"M"))</f>
        <v>20</v>
      </c>
      <c r="T143">
        <f ca="1">subscriptions[[#This Row],[monthly_revenue]]*subscriptions[[#This Row],[customer_lifetime]]</f>
        <v>2489.6</v>
      </c>
      <c r="U143" t="str">
        <f>IF(subscriptions[[#This Row],[feature_usage_pct]]&lt;30,"High Risk",IF(subscriptions[[#This Row],[feature_usage_pct]]&lt;60,"Medium Risk","Low Risk"))</f>
        <v>Medium Risk</v>
      </c>
      <c r="V143">
        <f ca="1">subscriptions[[#This Row],[CLV]]/200</f>
        <v>12.448</v>
      </c>
    </row>
    <row r="144" spans="1:22" x14ac:dyDescent="0.25">
      <c r="A144" t="s">
        <v>197</v>
      </c>
      <c r="B144" t="s">
        <v>36</v>
      </c>
      <c r="C144" t="s">
        <v>28</v>
      </c>
      <c r="D144" t="s">
        <v>32</v>
      </c>
      <c r="E144" s="2" t="s">
        <v>664</v>
      </c>
      <c r="F144">
        <v>7</v>
      </c>
      <c r="G144">
        <v>321.38</v>
      </c>
      <c r="H144" t="s">
        <v>22</v>
      </c>
      <c r="I144" t="s">
        <v>23</v>
      </c>
      <c r="J144" s="1">
        <v>45928</v>
      </c>
      <c r="K144" t="s">
        <v>26</v>
      </c>
      <c r="N144">
        <v>12</v>
      </c>
      <c r="O144">
        <v>1</v>
      </c>
      <c r="P144">
        <v>43</v>
      </c>
      <c r="Q144" t="s">
        <v>26</v>
      </c>
      <c r="R144">
        <f>IF(subscriptions[[#This Row],[churned]]="Yes",1,0)</f>
        <v>0</v>
      </c>
      <c r="S144">
        <f ca="1">IF(subscriptions[[#This Row],[churn_flag]]=1, DATEDIF(subscriptions[[#This Row],[signup_date]],subscriptions[[#This Row],[churn_date]],"M"), DATEDIF(subscriptions[[#This Row],[signup_date]],TODAY(),"M"))</f>
        <v>7</v>
      </c>
      <c r="T144">
        <f ca="1">subscriptions[[#This Row],[monthly_revenue]]*subscriptions[[#This Row],[customer_lifetime]]</f>
        <v>2249.66</v>
      </c>
      <c r="U144" t="str">
        <f>IF(subscriptions[[#This Row],[feature_usage_pct]]&lt;30,"High Risk",IF(subscriptions[[#This Row],[feature_usage_pct]]&lt;60,"Medium Risk","Low Risk"))</f>
        <v>Medium Risk</v>
      </c>
      <c r="V144">
        <f ca="1">subscriptions[[#This Row],[CLV]]/200</f>
        <v>11.248299999999999</v>
      </c>
    </row>
    <row r="145" spans="1:22" x14ac:dyDescent="0.25">
      <c r="A145" t="s">
        <v>198</v>
      </c>
      <c r="B145" t="s">
        <v>31</v>
      </c>
      <c r="C145" t="s">
        <v>19</v>
      </c>
      <c r="D145" t="s">
        <v>37</v>
      </c>
      <c r="E145" s="2" t="s">
        <v>664</v>
      </c>
      <c r="F145">
        <v>6</v>
      </c>
      <c r="G145">
        <v>50.75</v>
      </c>
      <c r="H145" t="s">
        <v>22</v>
      </c>
      <c r="I145" t="s">
        <v>23</v>
      </c>
      <c r="J145" s="1">
        <v>45018</v>
      </c>
      <c r="K145" t="s">
        <v>24</v>
      </c>
      <c r="L145" s="1">
        <v>45129</v>
      </c>
      <c r="M145" t="s">
        <v>82</v>
      </c>
      <c r="N145">
        <v>3</v>
      </c>
      <c r="O145">
        <v>1</v>
      </c>
      <c r="P145">
        <v>44</v>
      </c>
      <c r="Q145" t="s">
        <v>26</v>
      </c>
      <c r="R145">
        <f>IF(subscriptions[[#This Row],[churned]]="Yes",1,0)</f>
        <v>1</v>
      </c>
      <c r="S145">
        <f ca="1">IF(subscriptions[[#This Row],[churn_flag]]=1, DATEDIF(subscriptions[[#This Row],[signup_date]],subscriptions[[#This Row],[churn_date]],"M"), DATEDIF(subscriptions[[#This Row],[signup_date]],TODAY(),"M"))</f>
        <v>3</v>
      </c>
      <c r="T145">
        <f ca="1">subscriptions[[#This Row],[monthly_revenue]]*subscriptions[[#This Row],[customer_lifetime]]</f>
        <v>152.25</v>
      </c>
      <c r="U145" t="str">
        <f>IF(subscriptions[[#This Row],[feature_usage_pct]]&lt;30,"High Risk",IF(subscriptions[[#This Row],[feature_usage_pct]]&lt;60,"Medium Risk","Low Risk"))</f>
        <v>Medium Risk</v>
      </c>
      <c r="V145">
        <f ca="1">subscriptions[[#This Row],[CLV]]/200</f>
        <v>0.76124999999999998</v>
      </c>
    </row>
    <row r="146" spans="1:22" x14ac:dyDescent="0.25">
      <c r="A146" t="s">
        <v>199</v>
      </c>
      <c r="B146" t="s">
        <v>18</v>
      </c>
      <c r="C146" t="s">
        <v>28</v>
      </c>
      <c r="D146" t="s">
        <v>32</v>
      </c>
      <c r="E146" s="2" t="s">
        <v>663</v>
      </c>
      <c r="F146">
        <v>8</v>
      </c>
      <c r="G146">
        <v>137.66</v>
      </c>
      <c r="H146" t="s">
        <v>29</v>
      </c>
      <c r="I146" t="s">
        <v>23</v>
      </c>
      <c r="J146" s="1">
        <v>45277</v>
      </c>
      <c r="K146" t="s">
        <v>24</v>
      </c>
      <c r="L146" s="1">
        <v>45613</v>
      </c>
      <c r="M146" t="s">
        <v>46</v>
      </c>
      <c r="N146">
        <v>3</v>
      </c>
      <c r="O146">
        <v>3</v>
      </c>
      <c r="P146">
        <v>30</v>
      </c>
      <c r="Q146" t="s">
        <v>26</v>
      </c>
      <c r="R146">
        <f>IF(subscriptions[[#This Row],[churned]]="Yes",1,0)</f>
        <v>1</v>
      </c>
      <c r="S146">
        <f ca="1">IF(subscriptions[[#This Row],[churn_flag]]=1, DATEDIF(subscriptions[[#This Row],[signup_date]],subscriptions[[#This Row],[churn_date]],"M"), DATEDIF(subscriptions[[#This Row],[signup_date]],TODAY(),"M"))</f>
        <v>11</v>
      </c>
      <c r="T146">
        <f ca="1">subscriptions[[#This Row],[monthly_revenue]]*subscriptions[[#This Row],[customer_lifetime]]</f>
        <v>1514.26</v>
      </c>
      <c r="U146" t="str">
        <f>IF(subscriptions[[#This Row],[feature_usage_pct]]&lt;30,"High Risk",IF(subscriptions[[#This Row],[feature_usage_pct]]&lt;60,"Medium Risk","Low Risk"))</f>
        <v>Medium Risk</v>
      </c>
      <c r="V146">
        <f ca="1">subscriptions[[#This Row],[CLV]]/200</f>
        <v>7.5712999999999999</v>
      </c>
    </row>
    <row r="147" spans="1:22" x14ac:dyDescent="0.25">
      <c r="A147" t="s">
        <v>200</v>
      </c>
      <c r="B147" t="s">
        <v>71</v>
      </c>
      <c r="C147" t="s">
        <v>19</v>
      </c>
      <c r="D147" t="s">
        <v>68</v>
      </c>
      <c r="E147" s="2" t="s">
        <v>663</v>
      </c>
      <c r="F147">
        <v>15</v>
      </c>
      <c r="G147">
        <v>1546.9</v>
      </c>
      <c r="H147" t="s">
        <v>22</v>
      </c>
      <c r="I147" t="s">
        <v>23</v>
      </c>
      <c r="J147" s="1">
        <v>44739</v>
      </c>
      <c r="K147" t="s">
        <v>26</v>
      </c>
      <c r="N147">
        <v>1</v>
      </c>
      <c r="O147">
        <v>5</v>
      </c>
      <c r="P147">
        <v>61</v>
      </c>
      <c r="Q147" t="s">
        <v>26</v>
      </c>
      <c r="R147">
        <f>IF(subscriptions[[#This Row],[churned]]="Yes",1,0)</f>
        <v>0</v>
      </c>
      <c r="S147">
        <f ca="1">IF(subscriptions[[#This Row],[churn_flag]]=1, DATEDIF(subscriptions[[#This Row],[signup_date]],subscriptions[[#This Row],[churn_date]],"M"), DATEDIF(subscriptions[[#This Row],[signup_date]],TODAY(),"M"))</f>
        <v>46</v>
      </c>
      <c r="T147">
        <f ca="1">subscriptions[[#This Row],[monthly_revenue]]*subscriptions[[#This Row],[customer_lifetime]]</f>
        <v>71157.400000000009</v>
      </c>
      <c r="U147" t="str">
        <f>IF(subscriptions[[#This Row],[feature_usage_pct]]&lt;30,"High Risk",IF(subscriptions[[#This Row],[feature_usage_pct]]&lt;60,"Medium Risk","Low Risk"))</f>
        <v>Low Risk</v>
      </c>
      <c r="V147">
        <f ca="1">subscriptions[[#This Row],[CLV]]/200</f>
        <v>355.78700000000003</v>
      </c>
    </row>
    <row r="148" spans="1:22" x14ac:dyDescent="0.25">
      <c r="A148" t="s">
        <v>201</v>
      </c>
      <c r="B148" t="s">
        <v>31</v>
      </c>
      <c r="C148" t="s">
        <v>28</v>
      </c>
      <c r="D148" t="s">
        <v>40</v>
      </c>
      <c r="E148" s="2" t="s">
        <v>664</v>
      </c>
      <c r="F148">
        <v>6</v>
      </c>
      <c r="G148">
        <v>43.14</v>
      </c>
      <c r="H148" t="s">
        <v>60</v>
      </c>
      <c r="I148" t="s">
        <v>23</v>
      </c>
      <c r="J148" s="1">
        <v>45204</v>
      </c>
      <c r="K148" t="s">
        <v>24</v>
      </c>
      <c r="L148" s="1">
        <v>45251</v>
      </c>
      <c r="M148" t="s">
        <v>25</v>
      </c>
      <c r="N148">
        <v>5</v>
      </c>
      <c r="O148">
        <v>3</v>
      </c>
      <c r="P148">
        <v>15</v>
      </c>
      <c r="Q148" t="s">
        <v>26</v>
      </c>
      <c r="R148">
        <f>IF(subscriptions[[#This Row],[churned]]="Yes",1,0)</f>
        <v>1</v>
      </c>
      <c r="S148">
        <f ca="1">IF(subscriptions[[#This Row],[churn_flag]]=1, DATEDIF(subscriptions[[#This Row],[signup_date]],subscriptions[[#This Row],[churn_date]],"M"), DATEDIF(subscriptions[[#This Row],[signup_date]],TODAY(),"M"))</f>
        <v>1</v>
      </c>
      <c r="T148">
        <f ca="1">subscriptions[[#This Row],[monthly_revenue]]*subscriptions[[#This Row],[customer_lifetime]]</f>
        <v>43.14</v>
      </c>
      <c r="U148" t="str">
        <f>IF(subscriptions[[#This Row],[feature_usage_pct]]&lt;30,"High Risk",IF(subscriptions[[#This Row],[feature_usage_pct]]&lt;60,"Medium Risk","Low Risk"))</f>
        <v>High Risk</v>
      </c>
      <c r="V148">
        <f ca="1">subscriptions[[#This Row],[CLV]]/200</f>
        <v>0.2157</v>
      </c>
    </row>
    <row r="149" spans="1:22" x14ac:dyDescent="0.25">
      <c r="A149" t="s">
        <v>202</v>
      </c>
      <c r="B149" t="s">
        <v>71</v>
      </c>
      <c r="C149" t="s">
        <v>19</v>
      </c>
      <c r="D149" t="s">
        <v>49</v>
      </c>
      <c r="E149" s="2" t="s">
        <v>21</v>
      </c>
      <c r="F149">
        <v>73</v>
      </c>
      <c r="G149">
        <v>5888.2</v>
      </c>
      <c r="H149" t="s">
        <v>22</v>
      </c>
      <c r="I149" t="s">
        <v>38</v>
      </c>
      <c r="J149" s="1">
        <v>45714</v>
      </c>
      <c r="K149" t="s">
        <v>26</v>
      </c>
      <c r="N149">
        <v>5</v>
      </c>
      <c r="O149">
        <v>2</v>
      </c>
      <c r="P149">
        <v>54</v>
      </c>
      <c r="Q149" t="s">
        <v>26</v>
      </c>
      <c r="R149">
        <f>IF(subscriptions[[#This Row],[churned]]="Yes",1,0)</f>
        <v>0</v>
      </c>
      <c r="S149">
        <f ca="1">IF(subscriptions[[#This Row],[churn_flag]]=1, DATEDIF(subscriptions[[#This Row],[signup_date]],subscriptions[[#This Row],[churn_date]],"M"), DATEDIF(subscriptions[[#This Row],[signup_date]],TODAY(),"M"))</f>
        <v>14</v>
      </c>
      <c r="T149">
        <f ca="1">subscriptions[[#This Row],[monthly_revenue]]*subscriptions[[#This Row],[customer_lifetime]]</f>
        <v>82434.8</v>
      </c>
      <c r="U149" t="str">
        <f>IF(subscriptions[[#This Row],[feature_usage_pct]]&lt;30,"High Risk",IF(subscriptions[[#This Row],[feature_usage_pct]]&lt;60,"Medium Risk","Low Risk"))</f>
        <v>Medium Risk</v>
      </c>
      <c r="V149">
        <f ca="1">subscriptions[[#This Row],[CLV]]/200</f>
        <v>412.17400000000004</v>
      </c>
    </row>
    <row r="150" spans="1:22" x14ac:dyDescent="0.25">
      <c r="A150" t="s">
        <v>203</v>
      </c>
      <c r="B150" t="s">
        <v>18</v>
      </c>
      <c r="C150" t="s">
        <v>19</v>
      </c>
      <c r="D150" t="s">
        <v>40</v>
      </c>
      <c r="E150" s="2" t="s">
        <v>664</v>
      </c>
      <c r="F150">
        <v>1</v>
      </c>
      <c r="G150">
        <v>79</v>
      </c>
      <c r="H150" t="s">
        <v>29</v>
      </c>
      <c r="I150" t="s">
        <v>23</v>
      </c>
      <c r="J150" s="1">
        <v>45866</v>
      </c>
      <c r="K150" t="s">
        <v>26</v>
      </c>
      <c r="N150">
        <v>11</v>
      </c>
      <c r="O150">
        <v>6</v>
      </c>
      <c r="P150">
        <v>74</v>
      </c>
      <c r="Q150" t="s">
        <v>26</v>
      </c>
      <c r="R150">
        <f>IF(subscriptions[[#This Row],[churned]]="Yes",1,0)</f>
        <v>0</v>
      </c>
      <c r="S150">
        <f ca="1">IF(subscriptions[[#This Row],[churn_flag]]=1, DATEDIF(subscriptions[[#This Row],[signup_date]],subscriptions[[#This Row],[churn_date]],"M"), DATEDIF(subscriptions[[#This Row],[signup_date]],TODAY(),"M"))</f>
        <v>9</v>
      </c>
      <c r="T150">
        <f ca="1">subscriptions[[#This Row],[monthly_revenue]]*subscriptions[[#This Row],[customer_lifetime]]</f>
        <v>711</v>
      </c>
      <c r="U150" t="str">
        <f>IF(subscriptions[[#This Row],[feature_usage_pct]]&lt;30,"High Risk",IF(subscriptions[[#This Row],[feature_usage_pct]]&lt;60,"Medium Risk","Low Risk"))</f>
        <v>Low Risk</v>
      </c>
      <c r="V150">
        <f ca="1">subscriptions[[#This Row],[CLV]]/200</f>
        <v>3.5550000000000002</v>
      </c>
    </row>
    <row r="151" spans="1:22" x14ac:dyDescent="0.25">
      <c r="A151" t="s">
        <v>204</v>
      </c>
      <c r="B151" t="s">
        <v>18</v>
      </c>
      <c r="C151" t="s">
        <v>19</v>
      </c>
      <c r="D151" t="s">
        <v>40</v>
      </c>
      <c r="E151" s="2" t="s">
        <v>663</v>
      </c>
      <c r="F151">
        <v>26</v>
      </c>
      <c r="G151">
        <v>375.25</v>
      </c>
      <c r="H151" t="s">
        <v>22</v>
      </c>
      <c r="I151" t="s">
        <v>69</v>
      </c>
      <c r="J151" s="1">
        <v>45109</v>
      </c>
      <c r="K151" t="s">
        <v>24</v>
      </c>
      <c r="L151" s="1">
        <v>45346</v>
      </c>
      <c r="M151" t="s">
        <v>25</v>
      </c>
      <c r="N151">
        <v>13</v>
      </c>
      <c r="O151">
        <v>1</v>
      </c>
      <c r="P151">
        <v>29</v>
      </c>
      <c r="Q151" t="s">
        <v>26</v>
      </c>
      <c r="R151">
        <f>IF(subscriptions[[#This Row],[churned]]="Yes",1,0)</f>
        <v>1</v>
      </c>
      <c r="S151">
        <f ca="1">IF(subscriptions[[#This Row],[churn_flag]]=1, DATEDIF(subscriptions[[#This Row],[signup_date]],subscriptions[[#This Row],[churn_date]],"M"), DATEDIF(subscriptions[[#This Row],[signup_date]],TODAY(),"M"))</f>
        <v>7</v>
      </c>
      <c r="T151">
        <f ca="1">subscriptions[[#This Row],[monthly_revenue]]*subscriptions[[#This Row],[customer_lifetime]]</f>
        <v>2626.75</v>
      </c>
      <c r="U151" t="str">
        <f>IF(subscriptions[[#This Row],[feature_usage_pct]]&lt;30,"High Risk",IF(subscriptions[[#This Row],[feature_usage_pct]]&lt;60,"Medium Risk","Low Risk"))</f>
        <v>High Risk</v>
      </c>
      <c r="V151">
        <f ca="1">subscriptions[[#This Row],[CLV]]/200</f>
        <v>13.133749999999999</v>
      </c>
    </row>
    <row r="152" spans="1:22" x14ac:dyDescent="0.25">
      <c r="A152" t="s">
        <v>205</v>
      </c>
      <c r="B152" t="s">
        <v>31</v>
      </c>
      <c r="C152" t="s">
        <v>19</v>
      </c>
      <c r="D152" t="s">
        <v>20</v>
      </c>
      <c r="E152" s="2" t="s">
        <v>664</v>
      </c>
      <c r="F152">
        <v>5</v>
      </c>
      <c r="G152">
        <v>46.4</v>
      </c>
      <c r="H152" t="s">
        <v>98</v>
      </c>
      <c r="I152" t="s">
        <v>23</v>
      </c>
      <c r="J152" s="1">
        <v>45438</v>
      </c>
      <c r="K152" t="s">
        <v>24</v>
      </c>
      <c r="L152" s="1">
        <v>45632</v>
      </c>
      <c r="M152" t="s">
        <v>63</v>
      </c>
      <c r="N152">
        <v>7</v>
      </c>
      <c r="O152">
        <v>5</v>
      </c>
      <c r="P152">
        <v>15</v>
      </c>
      <c r="Q152" t="s">
        <v>26</v>
      </c>
      <c r="R152">
        <f>IF(subscriptions[[#This Row],[churned]]="Yes",1,0)</f>
        <v>1</v>
      </c>
      <c r="S152">
        <f ca="1">IF(subscriptions[[#This Row],[churn_flag]]=1, DATEDIF(subscriptions[[#This Row],[signup_date]],subscriptions[[#This Row],[churn_date]],"M"), DATEDIF(subscriptions[[#This Row],[signup_date]],TODAY(),"M"))</f>
        <v>6</v>
      </c>
      <c r="T152">
        <f ca="1">subscriptions[[#This Row],[monthly_revenue]]*subscriptions[[#This Row],[customer_lifetime]]</f>
        <v>278.39999999999998</v>
      </c>
      <c r="U152" t="str">
        <f>IF(subscriptions[[#This Row],[feature_usage_pct]]&lt;30,"High Risk",IF(subscriptions[[#This Row],[feature_usage_pct]]&lt;60,"Medium Risk","Low Risk"))</f>
        <v>High Risk</v>
      </c>
      <c r="V152">
        <f ca="1">subscriptions[[#This Row],[CLV]]/200</f>
        <v>1.3919999999999999</v>
      </c>
    </row>
    <row r="153" spans="1:22" x14ac:dyDescent="0.25">
      <c r="A153" t="s">
        <v>206</v>
      </c>
      <c r="B153" t="s">
        <v>36</v>
      </c>
      <c r="C153" t="s">
        <v>28</v>
      </c>
      <c r="D153" t="s">
        <v>20</v>
      </c>
      <c r="E153" s="2" t="s">
        <v>33</v>
      </c>
      <c r="F153">
        <v>199</v>
      </c>
      <c r="G153">
        <v>5192.8999999999996</v>
      </c>
      <c r="H153" t="s">
        <v>34</v>
      </c>
      <c r="I153" t="s">
        <v>23</v>
      </c>
      <c r="J153" s="1">
        <v>45086</v>
      </c>
      <c r="K153" t="s">
        <v>24</v>
      </c>
      <c r="L153" s="1">
        <v>45526</v>
      </c>
      <c r="M153" t="s">
        <v>46</v>
      </c>
      <c r="N153">
        <v>4</v>
      </c>
      <c r="O153">
        <v>5</v>
      </c>
      <c r="P153">
        <v>36</v>
      </c>
      <c r="Q153" t="s">
        <v>26</v>
      </c>
      <c r="R153">
        <f>IF(subscriptions[[#This Row],[churned]]="Yes",1,0)</f>
        <v>1</v>
      </c>
      <c r="S153">
        <f ca="1">IF(subscriptions[[#This Row],[churn_flag]]=1, DATEDIF(subscriptions[[#This Row],[signup_date]],subscriptions[[#This Row],[churn_date]],"M"), DATEDIF(subscriptions[[#This Row],[signup_date]],TODAY(),"M"))</f>
        <v>14</v>
      </c>
      <c r="T153">
        <f ca="1">subscriptions[[#This Row],[monthly_revenue]]*subscriptions[[#This Row],[customer_lifetime]]</f>
        <v>72700.599999999991</v>
      </c>
      <c r="U153" t="str">
        <f>IF(subscriptions[[#This Row],[feature_usage_pct]]&lt;30,"High Risk",IF(subscriptions[[#This Row],[feature_usage_pct]]&lt;60,"Medium Risk","Low Risk"))</f>
        <v>Medium Risk</v>
      </c>
      <c r="V153">
        <f ca="1">subscriptions[[#This Row],[CLV]]/200</f>
        <v>363.50299999999993</v>
      </c>
    </row>
    <row r="154" spans="1:22" x14ac:dyDescent="0.25">
      <c r="A154" t="s">
        <v>207</v>
      </c>
      <c r="B154" t="s">
        <v>31</v>
      </c>
      <c r="C154" t="s">
        <v>19</v>
      </c>
      <c r="D154" t="s">
        <v>20</v>
      </c>
      <c r="E154" s="2" t="s">
        <v>664</v>
      </c>
      <c r="F154">
        <v>6</v>
      </c>
      <c r="G154">
        <v>50.75</v>
      </c>
      <c r="H154" t="s">
        <v>34</v>
      </c>
      <c r="I154" t="s">
        <v>23</v>
      </c>
      <c r="J154" s="1">
        <v>45786</v>
      </c>
      <c r="K154" t="s">
        <v>24</v>
      </c>
      <c r="L154" s="1">
        <v>45991</v>
      </c>
      <c r="M154" t="s">
        <v>53</v>
      </c>
      <c r="N154">
        <v>8</v>
      </c>
      <c r="O154">
        <v>4</v>
      </c>
      <c r="P154">
        <v>18</v>
      </c>
      <c r="Q154" t="s">
        <v>26</v>
      </c>
      <c r="R154">
        <f>IF(subscriptions[[#This Row],[churned]]="Yes",1,0)</f>
        <v>1</v>
      </c>
      <c r="S154">
        <f ca="1">IF(subscriptions[[#This Row],[churn_flag]]=1, DATEDIF(subscriptions[[#This Row],[signup_date]],subscriptions[[#This Row],[churn_date]],"M"), DATEDIF(subscriptions[[#This Row],[signup_date]],TODAY(),"M"))</f>
        <v>6</v>
      </c>
      <c r="T154">
        <f ca="1">subscriptions[[#This Row],[monthly_revenue]]*subscriptions[[#This Row],[customer_lifetime]]</f>
        <v>304.5</v>
      </c>
      <c r="U154" t="str">
        <f>IF(subscriptions[[#This Row],[feature_usage_pct]]&lt;30,"High Risk",IF(subscriptions[[#This Row],[feature_usage_pct]]&lt;60,"Medium Risk","Low Risk"))</f>
        <v>High Risk</v>
      </c>
      <c r="V154">
        <f ca="1">subscriptions[[#This Row],[CLV]]/200</f>
        <v>1.5225</v>
      </c>
    </row>
    <row r="155" spans="1:22" x14ac:dyDescent="0.25">
      <c r="A155" t="s">
        <v>208</v>
      </c>
      <c r="B155" t="s">
        <v>18</v>
      </c>
      <c r="C155" t="s">
        <v>28</v>
      </c>
      <c r="D155" t="s">
        <v>68</v>
      </c>
      <c r="E155" s="2" t="s">
        <v>664</v>
      </c>
      <c r="F155">
        <v>1</v>
      </c>
      <c r="G155">
        <v>67.150000000000006</v>
      </c>
      <c r="H155" t="s">
        <v>34</v>
      </c>
      <c r="I155" t="s">
        <v>38</v>
      </c>
      <c r="J155" s="1">
        <v>45515</v>
      </c>
      <c r="K155" t="s">
        <v>24</v>
      </c>
      <c r="L155" s="1">
        <v>45714</v>
      </c>
      <c r="M155" t="s">
        <v>46</v>
      </c>
      <c r="N155">
        <v>1</v>
      </c>
      <c r="O155">
        <v>5</v>
      </c>
      <c r="P155">
        <v>14</v>
      </c>
      <c r="Q155" t="s">
        <v>26</v>
      </c>
      <c r="R155">
        <f>IF(subscriptions[[#This Row],[churned]]="Yes",1,0)</f>
        <v>1</v>
      </c>
      <c r="S155">
        <f ca="1">IF(subscriptions[[#This Row],[churn_flag]]=1, DATEDIF(subscriptions[[#This Row],[signup_date]],subscriptions[[#This Row],[churn_date]],"M"), DATEDIF(subscriptions[[#This Row],[signup_date]],TODAY(),"M"))</f>
        <v>6</v>
      </c>
      <c r="T155">
        <f ca="1">subscriptions[[#This Row],[monthly_revenue]]*subscriptions[[#This Row],[customer_lifetime]]</f>
        <v>402.90000000000003</v>
      </c>
      <c r="U155" t="str">
        <f>IF(subscriptions[[#This Row],[feature_usage_pct]]&lt;30,"High Risk",IF(subscriptions[[#This Row],[feature_usage_pct]]&lt;60,"Medium Risk","Low Risk"))</f>
        <v>High Risk</v>
      </c>
      <c r="V155">
        <f ca="1">subscriptions[[#This Row],[CLV]]/200</f>
        <v>2.0145</v>
      </c>
    </row>
    <row r="156" spans="1:22" x14ac:dyDescent="0.25">
      <c r="A156" t="s">
        <v>209</v>
      </c>
      <c r="B156" t="s">
        <v>31</v>
      </c>
      <c r="C156" t="s">
        <v>19</v>
      </c>
      <c r="D156" t="s">
        <v>79</v>
      </c>
      <c r="E156" s="2" t="s">
        <v>33</v>
      </c>
      <c r="F156">
        <v>230</v>
      </c>
      <c r="G156">
        <v>1025.1500000000001</v>
      </c>
      <c r="H156" t="s">
        <v>43</v>
      </c>
      <c r="I156" t="s">
        <v>55</v>
      </c>
      <c r="J156" s="1">
        <v>44848</v>
      </c>
      <c r="K156" t="s">
        <v>24</v>
      </c>
      <c r="L156" s="1">
        <v>45385</v>
      </c>
      <c r="M156" t="s">
        <v>25</v>
      </c>
      <c r="N156">
        <v>6</v>
      </c>
      <c r="O156">
        <v>2</v>
      </c>
      <c r="P156">
        <v>35</v>
      </c>
      <c r="Q156" t="s">
        <v>26</v>
      </c>
      <c r="R156">
        <f>IF(subscriptions[[#This Row],[churned]]="Yes",1,0)</f>
        <v>1</v>
      </c>
      <c r="S156">
        <f ca="1">IF(subscriptions[[#This Row],[churn_flag]]=1, DATEDIF(subscriptions[[#This Row],[signup_date]],subscriptions[[#This Row],[churn_date]],"M"), DATEDIF(subscriptions[[#This Row],[signup_date]],TODAY(),"M"))</f>
        <v>17</v>
      </c>
      <c r="T156">
        <f ca="1">subscriptions[[#This Row],[monthly_revenue]]*subscriptions[[#This Row],[customer_lifetime]]</f>
        <v>17427.550000000003</v>
      </c>
      <c r="U156" t="str">
        <f>IF(subscriptions[[#This Row],[feature_usage_pct]]&lt;30,"High Risk",IF(subscriptions[[#This Row],[feature_usage_pct]]&lt;60,"Medium Risk","Low Risk"))</f>
        <v>Medium Risk</v>
      </c>
      <c r="V156">
        <f ca="1">subscriptions[[#This Row],[CLV]]/200</f>
        <v>87.137750000000011</v>
      </c>
    </row>
    <row r="157" spans="1:22" x14ac:dyDescent="0.25">
      <c r="A157" t="s">
        <v>210</v>
      </c>
      <c r="B157" t="s">
        <v>36</v>
      </c>
      <c r="C157" t="s">
        <v>19</v>
      </c>
      <c r="D157" t="s">
        <v>52</v>
      </c>
      <c r="E157" s="2" t="s">
        <v>663</v>
      </c>
      <c r="F157">
        <v>7</v>
      </c>
      <c r="G157">
        <v>378.1</v>
      </c>
      <c r="H157" t="s">
        <v>22</v>
      </c>
      <c r="I157" t="s">
        <v>23</v>
      </c>
      <c r="J157" s="1">
        <v>45555</v>
      </c>
      <c r="K157" t="s">
        <v>26</v>
      </c>
      <c r="N157">
        <v>4</v>
      </c>
      <c r="O157">
        <v>5</v>
      </c>
      <c r="P157">
        <v>83</v>
      </c>
      <c r="Q157" t="s">
        <v>26</v>
      </c>
      <c r="R157">
        <f>IF(subscriptions[[#This Row],[churned]]="Yes",1,0)</f>
        <v>0</v>
      </c>
      <c r="S157">
        <f ca="1">IF(subscriptions[[#This Row],[churn_flag]]=1, DATEDIF(subscriptions[[#This Row],[signup_date]],subscriptions[[#This Row],[churn_date]],"M"), DATEDIF(subscriptions[[#This Row],[signup_date]],TODAY(),"M"))</f>
        <v>19</v>
      </c>
      <c r="T157">
        <f ca="1">subscriptions[[#This Row],[monthly_revenue]]*subscriptions[[#This Row],[customer_lifetime]]</f>
        <v>7183.9000000000005</v>
      </c>
      <c r="U157" t="str">
        <f>IF(subscriptions[[#This Row],[feature_usage_pct]]&lt;30,"High Risk",IF(subscriptions[[#This Row],[feature_usage_pct]]&lt;60,"Medium Risk","Low Risk"))</f>
        <v>Low Risk</v>
      </c>
      <c r="V157">
        <f ca="1">subscriptions[[#This Row],[CLV]]/200</f>
        <v>35.919499999999999</v>
      </c>
    </row>
    <row r="158" spans="1:22" x14ac:dyDescent="0.25">
      <c r="A158" t="s">
        <v>211</v>
      </c>
      <c r="B158" t="s">
        <v>18</v>
      </c>
      <c r="C158" t="s">
        <v>28</v>
      </c>
      <c r="D158" t="s">
        <v>62</v>
      </c>
      <c r="E158" s="2" t="s">
        <v>664</v>
      </c>
      <c r="F158">
        <v>5</v>
      </c>
      <c r="G158">
        <v>107.44</v>
      </c>
      <c r="H158" t="s">
        <v>29</v>
      </c>
      <c r="I158" t="s">
        <v>38</v>
      </c>
      <c r="J158" s="1">
        <v>45144</v>
      </c>
      <c r="K158" t="s">
        <v>26</v>
      </c>
      <c r="N158">
        <v>9</v>
      </c>
      <c r="O158">
        <v>2</v>
      </c>
      <c r="P158">
        <v>80</v>
      </c>
      <c r="Q158" t="s">
        <v>26</v>
      </c>
      <c r="R158">
        <f>IF(subscriptions[[#This Row],[churned]]="Yes",1,0)</f>
        <v>0</v>
      </c>
      <c r="S158">
        <f ca="1">IF(subscriptions[[#This Row],[churn_flag]]=1, DATEDIF(subscriptions[[#This Row],[signup_date]],subscriptions[[#This Row],[churn_date]],"M"), DATEDIF(subscriptions[[#This Row],[signup_date]],TODAY(),"M"))</f>
        <v>33</v>
      </c>
      <c r="T158">
        <f ca="1">subscriptions[[#This Row],[monthly_revenue]]*subscriptions[[#This Row],[customer_lifetime]]</f>
        <v>3545.52</v>
      </c>
      <c r="U158" t="str">
        <f>IF(subscriptions[[#This Row],[feature_usage_pct]]&lt;30,"High Risk",IF(subscriptions[[#This Row],[feature_usage_pct]]&lt;60,"Medium Risk","Low Risk"))</f>
        <v>Low Risk</v>
      </c>
      <c r="V158">
        <f ca="1">subscriptions[[#This Row],[CLV]]/200</f>
        <v>17.727599999999999</v>
      </c>
    </row>
    <row r="159" spans="1:22" x14ac:dyDescent="0.25">
      <c r="A159" t="s">
        <v>212</v>
      </c>
      <c r="B159" t="s">
        <v>71</v>
      </c>
      <c r="C159" t="s">
        <v>19</v>
      </c>
      <c r="D159" t="s">
        <v>42</v>
      </c>
      <c r="E159" s="2" t="s">
        <v>663</v>
      </c>
      <c r="F159">
        <v>20</v>
      </c>
      <c r="G159">
        <v>1921.15</v>
      </c>
      <c r="H159" t="s">
        <v>22</v>
      </c>
      <c r="I159" t="s">
        <v>69</v>
      </c>
      <c r="J159" s="1">
        <v>45034</v>
      </c>
      <c r="K159" t="s">
        <v>26</v>
      </c>
      <c r="N159">
        <v>6</v>
      </c>
      <c r="O159">
        <v>2</v>
      </c>
      <c r="P159">
        <v>35</v>
      </c>
      <c r="Q159" t="s">
        <v>26</v>
      </c>
      <c r="R159">
        <f>IF(subscriptions[[#This Row],[churned]]="Yes",1,0)</f>
        <v>0</v>
      </c>
      <c r="S159">
        <f ca="1">IF(subscriptions[[#This Row],[churn_flag]]=1, DATEDIF(subscriptions[[#This Row],[signup_date]],subscriptions[[#This Row],[churn_date]],"M"), DATEDIF(subscriptions[[#This Row],[signup_date]],TODAY(),"M"))</f>
        <v>36</v>
      </c>
      <c r="T159">
        <f ca="1">subscriptions[[#This Row],[monthly_revenue]]*subscriptions[[#This Row],[customer_lifetime]]</f>
        <v>69161.400000000009</v>
      </c>
      <c r="U159" t="str">
        <f>IF(subscriptions[[#This Row],[feature_usage_pct]]&lt;30,"High Risk",IF(subscriptions[[#This Row],[feature_usage_pct]]&lt;60,"Medium Risk","Low Risk"))</f>
        <v>Medium Risk</v>
      </c>
      <c r="V159">
        <f ca="1">subscriptions[[#This Row],[CLV]]/200</f>
        <v>345.80700000000002</v>
      </c>
    </row>
    <row r="160" spans="1:22" x14ac:dyDescent="0.25">
      <c r="A160" t="s">
        <v>213</v>
      </c>
      <c r="B160" t="s">
        <v>31</v>
      </c>
      <c r="C160" t="s">
        <v>28</v>
      </c>
      <c r="D160" t="s">
        <v>40</v>
      </c>
      <c r="E160" s="2" t="s">
        <v>21</v>
      </c>
      <c r="F160">
        <v>66</v>
      </c>
      <c r="G160">
        <v>264.99</v>
      </c>
      <c r="H160" t="s">
        <v>43</v>
      </c>
      <c r="I160" t="s">
        <v>55</v>
      </c>
      <c r="J160" s="1">
        <v>45955</v>
      </c>
      <c r="K160" t="s">
        <v>26</v>
      </c>
      <c r="N160">
        <v>8</v>
      </c>
      <c r="O160">
        <v>8</v>
      </c>
      <c r="P160">
        <v>30</v>
      </c>
      <c r="Q160" t="s">
        <v>26</v>
      </c>
      <c r="R160">
        <f>IF(subscriptions[[#This Row],[churned]]="Yes",1,0)</f>
        <v>0</v>
      </c>
      <c r="S160">
        <f ca="1">IF(subscriptions[[#This Row],[churn_flag]]=1, DATEDIF(subscriptions[[#This Row],[signup_date]],subscriptions[[#This Row],[churn_date]],"M"), DATEDIF(subscriptions[[#This Row],[signup_date]],TODAY(),"M"))</f>
        <v>6</v>
      </c>
      <c r="T160">
        <f ca="1">subscriptions[[#This Row],[monthly_revenue]]*subscriptions[[#This Row],[customer_lifetime]]</f>
        <v>1589.94</v>
      </c>
      <c r="U160" t="str">
        <f>IF(subscriptions[[#This Row],[feature_usage_pct]]&lt;30,"High Risk",IF(subscriptions[[#This Row],[feature_usage_pct]]&lt;60,"Medium Risk","Low Risk"))</f>
        <v>Medium Risk</v>
      </c>
      <c r="V160">
        <f ca="1">subscriptions[[#This Row],[CLV]]/200</f>
        <v>7.9497</v>
      </c>
    </row>
    <row r="161" spans="1:22" x14ac:dyDescent="0.25">
      <c r="A161" t="s">
        <v>214</v>
      </c>
      <c r="B161" t="s">
        <v>18</v>
      </c>
      <c r="C161" t="s">
        <v>28</v>
      </c>
      <c r="D161" t="s">
        <v>68</v>
      </c>
      <c r="E161" s="2" t="s">
        <v>21</v>
      </c>
      <c r="F161">
        <v>71</v>
      </c>
      <c r="G161">
        <v>772.22</v>
      </c>
      <c r="H161" t="s">
        <v>22</v>
      </c>
      <c r="I161" t="s">
        <v>55</v>
      </c>
      <c r="J161" s="1">
        <v>45664</v>
      </c>
      <c r="K161" t="s">
        <v>26</v>
      </c>
      <c r="N161">
        <v>9</v>
      </c>
      <c r="O161">
        <v>5</v>
      </c>
      <c r="P161">
        <v>93</v>
      </c>
      <c r="Q161" t="s">
        <v>26</v>
      </c>
      <c r="R161">
        <f>IF(subscriptions[[#This Row],[churned]]="Yes",1,0)</f>
        <v>0</v>
      </c>
      <c r="S161">
        <f ca="1">IF(subscriptions[[#This Row],[churn_flag]]=1, DATEDIF(subscriptions[[#This Row],[signup_date]],subscriptions[[#This Row],[churn_date]],"M"), DATEDIF(subscriptions[[#This Row],[signup_date]],TODAY(),"M"))</f>
        <v>16</v>
      </c>
      <c r="T161">
        <f ca="1">subscriptions[[#This Row],[monthly_revenue]]*subscriptions[[#This Row],[customer_lifetime]]</f>
        <v>12355.52</v>
      </c>
      <c r="U161" t="str">
        <f>IF(subscriptions[[#This Row],[feature_usage_pct]]&lt;30,"High Risk",IF(subscriptions[[#This Row],[feature_usage_pct]]&lt;60,"Medium Risk","Low Risk"))</f>
        <v>Low Risk</v>
      </c>
      <c r="V161">
        <f ca="1">subscriptions[[#This Row],[CLV]]/200</f>
        <v>61.7776</v>
      </c>
    </row>
    <row r="162" spans="1:22" x14ac:dyDescent="0.25">
      <c r="A162" t="s">
        <v>215</v>
      </c>
      <c r="B162" t="s">
        <v>36</v>
      </c>
      <c r="C162" t="s">
        <v>28</v>
      </c>
      <c r="D162" t="s">
        <v>62</v>
      </c>
      <c r="E162" s="2" t="s">
        <v>664</v>
      </c>
      <c r="F162">
        <v>4</v>
      </c>
      <c r="G162">
        <v>245.27</v>
      </c>
      <c r="H162" t="s">
        <v>34</v>
      </c>
      <c r="I162" t="s">
        <v>38</v>
      </c>
      <c r="J162" s="1">
        <v>45637</v>
      </c>
      <c r="K162" t="s">
        <v>24</v>
      </c>
      <c r="L162" s="1">
        <v>45766</v>
      </c>
      <c r="M162" t="s">
        <v>25</v>
      </c>
      <c r="N162">
        <v>0</v>
      </c>
      <c r="O162">
        <v>6</v>
      </c>
      <c r="P162">
        <v>28</v>
      </c>
      <c r="Q162" t="s">
        <v>26</v>
      </c>
      <c r="R162">
        <f>IF(subscriptions[[#This Row],[churned]]="Yes",1,0)</f>
        <v>1</v>
      </c>
      <c r="S162">
        <f ca="1">IF(subscriptions[[#This Row],[churn_flag]]=1, DATEDIF(subscriptions[[#This Row],[signup_date]],subscriptions[[#This Row],[churn_date]],"M"), DATEDIF(subscriptions[[#This Row],[signup_date]],TODAY(),"M"))</f>
        <v>4</v>
      </c>
      <c r="T162">
        <f ca="1">subscriptions[[#This Row],[monthly_revenue]]*subscriptions[[#This Row],[customer_lifetime]]</f>
        <v>981.08</v>
      </c>
      <c r="U162" t="str">
        <f>IF(subscriptions[[#This Row],[feature_usage_pct]]&lt;30,"High Risk",IF(subscriptions[[#This Row],[feature_usage_pct]]&lt;60,"Medium Risk","Low Risk"))</f>
        <v>High Risk</v>
      </c>
      <c r="V162">
        <f ca="1">subscriptions[[#This Row],[CLV]]/200</f>
        <v>4.9054000000000002</v>
      </c>
    </row>
    <row r="163" spans="1:22" x14ac:dyDescent="0.25">
      <c r="A163" t="s">
        <v>216</v>
      </c>
      <c r="B163" t="s">
        <v>31</v>
      </c>
      <c r="C163" t="s">
        <v>19</v>
      </c>
      <c r="D163" t="s">
        <v>32</v>
      </c>
      <c r="E163" s="2" t="s">
        <v>33</v>
      </c>
      <c r="F163">
        <v>150</v>
      </c>
      <c r="G163">
        <v>677.15</v>
      </c>
      <c r="H163" t="s">
        <v>60</v>
      </c>
      <c r="I163" t="s">
        <v>38</v>
      </c>
      <c r="J163" s="1">
        <v>44782</v>
      </c>
      <c r="K163" t="s">
        <v>24</v>
      </c>
      <c r="L163" s="1">
        <v>45256</v>
      </c>
      <c r="M163" t="s">
        <v>53</v>
      </c>
      <c r="N163">
        <v>0</v>
      </c>
      <c r="O163">
        <v>3</v>
      </c>
      <c r="P163">
        <v>44</v>
      </c>
      <c r="Q163" t="s">
        <v>26</v>
      </c>
      <c r="R163">
        <f>IF(subscriptions[[#This Row],[churned]]="Yes",1,0)</f>
        <v>1</v>
      </c>
      <c r="S163">
        <f ca="1">IF(subscriptions[[#This Row],[churn_flag]]=1, DATEDIF(subscriptions[[#This Row],[signup_date]],subscriptions[[#This Row],[churn_date]],"M"), DATEDIF(subscriptions[[#This Row],[signup_date]],TODAY(),"M"))</f>
        <v>15</v>
      </c>
      <c r="T163">
        <f ca="1">subscriptions[[#This Row],[monthly_revenue]]*subscriptions[[#This Row],[customer_lifetime]]</f>
        <v>10157.25</v>
      </c>
      <c r="U163" t="str">
        <f>IF(subscriptions[[#This Row],[feature_usage_pct]]&lt;30,"High Risk",IF(subscriptions[[#This Row],[feature_usage_pct]]&lt;60,"Medium Risk","Low Risk"))</f>
        <v>Medium Risk</v>
      </c>
      <c r="V163">
        <f ca="1">subscriptions[[#This Row],[CLV]]/200</f>
        <v>50.786250000000003</v>
      </c>
    </row>
    <row r="164" spans="1:22" x14ac:dyDescent="0.25">
      <c r="A164" t="s">
        <v>217</v>
      </c>
      <c r="B164" t="s">
        <v>31</v>
      </c>
      <c r="C164" t="s">
        <v>28</v>
      </c>
      <c r="D164" t="s">
        <v>40</v>
      </c>
      <c r="E164" s="2" t="s">
        <v>664</v>
      </c>
      <c r="F164">
        <v>2</v>
      </c>
      <c r="G164">
        <v>28.35</v>
      </c>
      <c r="H164" t="s">
        <v>60</v>
      </c>
      <c r="I164" t="s">
        <v>55</v>
      </c>
      <c r="J164" s="1">
        <v>45685</v>
      </c>
      <c r="K164" t="s">
        <v>26</v>
      </c>
      <c r="N164">
        <v>3</v>
      </c>
      <c r="O164">
        <v>8</v>
      </c>
      <c r="P164">
        <v>20</v>
      </c>
      <c r="Q164" t="s">
        <v>26</v>
      </c>
      <c r="R164">
        <f>IF(subscriptions[[#This Row],[churned]]="Yes",1,0)</f>
        <v>0</v>
      </c>
      <c r="S164">
        <f ca="1">IF(subscriptions[[#This Row],[churn_flag]]=1, DATEDIF(subscriptions[[#This Row],[signup_date]],subscriptions[[#This Row],[churn_date]],"M"), DATEDIF(subscriptions[[#This Row],[signup_date]],TODAY(),"M"))</f>
        <v>15</v>
      </c>
      <c r="T164">
        <f ca="1">subscriptions[[#This Row],[monthly_revenue]]*subscriptions[[#This Row],[customer_lifetime]]</f>
        <v>425.25</v>
      </c>
      <c r="U164" t="str">
        <f>IF(subscriptions[[#This Row],[feature_usage_pct]]&lt;30,"High Risk",IF(subscriptions[[#This Row],[feature_usage_pct]]&lt;60,"Medium Risk","Low Risk"))</f>
        <v>High Risk</v>
      </c>
      <c r="V164">
        <f ca="1">subscriptions[[#This Row],[CLV]]/200</f>
        <v>2.1262500000000002</v>
      </c>
    </row>
    <row r="165" spans="1:22" x14ac:dyDescent="0.25">
      <c r="A165" t="s">
        <v>218</v>
      </c>
      <c r="B165" t="s">
        <v>31</v>
      </c>
      <c r="C165" t="s">
        <v>28</v>
      </c>
      <c r="D165" t="s">
        <v>52</v>
      </c>
      <c r="E165" s="2" t="s">
        <v>33</v>
      </c>
      <c r="F165">
        <v>220</v>
      </c>
      <c r="G165">
        <v>834.4</v>
      </c>
      <c r="H165" t="s">
        <v>22</v>
      </c>
      <c r="I165" t="s">
        <v>38</v>
      </c>
      <c r="J165" s="1">
        <v>45157</v>
      </c>
      <c r="K165" t="s">
        <v>24</v>
      </c>
      <c r="L165" s="1">
        <v>45819</v>
      </c>
      <c r="M165" t="s">
        <v>50</v>
      </c>
      <c r="N165">
        <v>4</v>
      </c>
      <c r="O165">
        <v>3</v>
      </c>
      <c r="P165">
        <v>12</v>
      </c>
      <c r="Q165" t="s">
        <v>26</v>
      </c>
      <c r="R165">
        <f>IF(subscriptions[[#This Row],[churned]]="Yes",1,0)</f>
        <v>1</v>
      </c>
      <c r="S165">
        <f ca="1">IF(subscriptions[[#This Row],[churn_flag]]=1, DATEDIF(subscriptions[[#This Row],[signup_date]],subscriptions[[#This Row],[churn_date]],"M"), DATEDIF(subscriptions[[#This Row],[signup_date]],TODAY(),"M"))</f>
        <v>21</v>
      </c>
      <c r="T165">
        <f ca="1">subscriptions[[#This Row],[monthly_revenue]]*subscriptions[[#This Row],[customer_lifetime]]</f>
        <v>17522.399999999998</v>
      </c>
      <c r="U165" t="str">
        <f>IF(subscriptions[[#This Row],[feature_usage_pct]]&lt;30,"High Risk",IF(subscriptions[[#This Row],[feature_usage_pct]]&lt;60,"Medium Risk","Low Risk"))</f>
        <v>High Risk</v>
      </c>
      <c r="V165">
        <f ca="1">subscriptions[[#This Row],[CLV]]/200</f>
        <v>87.611999999999995</v>
      </c>
    </row>
    <row r="166" spans="1:22" x14ac:dyDescent="0.25">
      <c r="A166" t="s">
        <v>219</v>
      </c>
      <c r="B166" t="s">
        <v>31</v>
      </c>
      <c r="C166" t="s">
        <v>28</v>
      </c>
      <c r="D166" t="s">
        <v>37</v>
      </c>
      <c r="E166" s="2" t="s">
        <v>45</v>
      </c>
      <c r="F166">
        <v>34</v>
      </c>
      <c r="G166">
        <v>146.66999999999999</v>
      </c>
      <c r="H166" t="s">
        <v>22</v>
      </c>
      <c r="I166" t="s">
        <v>55</v>
      </c>
      <c r="J166" s="1">
        <v>45488</v>
      </c>
      <c r="K166" t="s">
        <v>26</v>
      </c>
      <c r="N166">
        <v>12</v>
      </c>
      <c r="O166">
        <v>5</v>
      </c>
      <c r="P166">
        <v>60</v>
      </c>
      <c r="Q166" t="s">
        <v>26</v>
      </c>
      <c r="R166">
        <f>IF(subscriptions[[#This Row],[churned]]="Yes",1,0)</f>
        <v>0</v>
      </c>
      <c r="S166">
        <f ca="1">IF(subscriptions[[#This Row],[churn_flag]]=1, DATEDIF(subscriptions[[#This Row],[signup_date]],subscriptions[[#This Row],[churn_date]],"M"), DATEDIF(subscriptions[[#This Row],[signup_date]],TODAY(),"M"))</f>
        <v>21</v>
      </c>
      <c r="T166">
        <f ca="1">subscriptions[[#This Row],[monthly_revenue]]*subscriptions[[#This Row],[customer_lifetime]]</f>
        <v>3080.0699999999997</v>
      </c>
      <c r="U166" t="str">
        <f>IF(subscriptions[[#This Row],[feature_usage_pct]]&lt;30,"High Risk",IF(subscriptions[[#This Row],[feature_usage_pct]]&lt;60,"Medium Risk","Low Risk"))</f>
        <v>Low Risk</v>
      </c>
      <c r="V166">
        <f ca="1">subscriptions[[#This Row],[CLV]]/200</f>
        <v>15.400349999999998</v>
      </c>
    </row>
    <row r="167" spans="1:22" x14ac:dyDescent="0.25">
      <c r="A167" t="s">
        <v>220</v>
      </c>
      <c r="B167" t="s">
        <v>31</v>
      </c>
      <c r="C167" t="s">
        <v>19</v>
      </c>
      <c r="D167" t="s">
        <v>52</v>
      </c>
      <c r="E167" s="2" t="s">
        <v>664</v>
      </c>
      <c r="F167">
        <v>1</v>
      </c>
      <c r="G167">
        <v>29</v>
      </c>
      <c r="H167" t="s">
        <v>98</v>
      </c>
      <c r="I167" t="s">
        <v>38</v>
      </c>
      <c r="J167" s="1">
        <v>45187</v>
      </c>
      <c r="K167" t="s">
        <v>24</v>
      </c>
      <c r="L167" s="1">
        <v>45682</v>
      </c>
      <c r="M167" t="s">
        <v>63</v>
      </c>
      <c r="N167">
        <v>7</v>
      </c>
      <c r="O167">
        <v>5</v>
      </c>
      <c r="P167">
        <v>20</v>
      </c>
      <c r="Q167" t="s">
        <v>26</v>
      </c>
      <c r="R167">
        <f>IF(subscriptions[[#This Row],[churned]]="Yes",1,0)</f>
        <v>1</v>
      </c>
      <c r="S167">
        <f ca="1">IF(subscriptions[[#This Row],[churn_flag]]=1, DATEDIF(subscriptions[[#This Row],[signup_date]],subscriptions[[#This Row],[churn_date]],"M"), DATEDIF(subscriptions[[#This Row],[signup_date]],TODAY(),"M"))</f>
        <v>16</v>
      </c>
      <c r="T167">
        <f ca="1">subscriptions[[#This Row],[monthly_revenue]]*subscriptions[[#This Row],[customer_lifetime]]</f>
        <v>464</v>
      </c>
      <c r="U167" t="str">
        <f>IF(subscriptions[[#This Row],[feature_usage_pct]]&lt;30,"High Risk",IF(subscriptions[[#This Row],[feature_usage_pct]]&lt;60,"Medium Risk","Low Risk"))</f>
        <v>High Risk</v>
      </c>
      <c r="V167">
        <f ca="1">subscriptions[[#This Row],[CLV]]/200</f>
        <v>2.3199999999999998</v>
      </c>
    </row>
    <row r="168" spans="1:22" x14ac:dyDescent="0.25">
      <c r="A168" t="s">
        <v>221</v>
      </c>
      <c r="B168" t="s">
        <v>31</v>
      </c>
      <c r="C168" t="s">
        <v>28</v>
      </c>
      <c r="D168" t="s">
        <v>68</v>
      </c>
      <c r="E168" s="2" t="s">
        <v>21</v>
      </c>
      <c r="F168">
        <v>40</v>
      </c>
      <c r="G168">
        <v>168.85</v>
      </c>
      <c r="H168" t="s">
        <v>22</v>
      </c>
      <c r="I168" t="s">
        <v>23</v>
      </c>
      <c r="J168" s="1">
        <v>45650</v>
      </c>
      <c r="K168" t="s">
        <v>26</v>
      </c>
      <c r="N168">
        <v>10</v>
      </c>
      <c r="O168">
        <v>6</v>
      </c>
      <c r="P168">
        <v>35</v>
      </c>
      <c r="Q168" t="s">
        <v>26</v>
      </c>
      <c r="R168">
        <f>IF(subscriptions[[#This Row],[churned]]="Yes",1,0)</f>
        <v>0</v>
      </c>
      <c r="S168">
        <f ca="1">IF(subscriptions[[#This Row],[churn_flag]]=1, DATEDIF(subscriptions[[#This Row],[signup_date]],subscriptions[[#This Row],[churn_date]],"M"), DATEDIF(subscriptions[[#This Row],[signup_date]],TODAY(),"M"))</f>
        <v>16</v>
      </c>
      <c r="T168">
        <f ca="1">subscriptions[[#This Row],[monthly_revenue]]*subscriptions[[#This Row],[customer_lifetime]]</f>
        <v>2701.6</v>
      </c>
      <c r="U168" t="str">
        <f>IF(subscriptions[[#This Row],[feature_usage_pct]]&lt;30,"High Risk",IF(subscriptions[[#This Row],[feature_usage_pct]]&lt;60,"Medium Risk","Low Risk"))</f>
        <v>Medium Risk</v>
      </c>
      <c r="V168">
        <f ca="1">subscriptions[[#This Row],[CLV]]/200</f>
        <v>13.507999999999999</v>
      </c>
    </row>
    <row r="169" spans="1:22" x14ac:dyDescent="0.25">
      <c r="A169" t="s">
        <v>222</v>
      </c>
      <c r="B169" t="s">
        <v>36</v>
      </c>
      <c r="C169" t="s">
        <v>19</v>
      </c>
      <c r="D169" t="s">
        <v>68</v>
      </c>
      <c r="E169" s="2" t="s">
        <v>663</v>
      </c>
      <c r="F169">
        <v>29</v>
      </c>
      <c r="G169">
        <v>1034.8</v>
      </c>
      <c r="H169" t="s">
        <v>34</v>
      </c>
      <c r="I169" t="s">
        <v>38</v>
      </c>
      <c r="J169" s="1">
        <v>45021</v>
      </c>
      <c r="K169" t="s">
        <v>24</v>
      </c>
      <c r="L169" s="1">
        <v>45045</v>
      </c>
      <c r="M169" t="s">
        <v>63</v>
      </c>
      <c r="N169">
        <v>12</v>
      </c>
      <c r="O169">
        <v>6</v>
      </c>
      <c r="P169">
        <v>45</v>
      </c>
      <c r="Q169" t="s">
        <v>26</v>
      </c>
      <c r="R169">
        <f>IF(subscriptions[[#This Row],[churned]]="Yes",1,0)</f>
        <v>1</v>
      </c>
      <c r="S169">
        <f ca="1">IF(subscriptions[[#This Row],[churn_flag]]=1, DATEDIF(subscriptions[[#This Row],[signup_date]],subscriptions[[#This Row],[churn_date]],"M"), DATEDIF(subscriptions[[#This Row],[signup_date]],TODAY(),"M"))</f>
        <v>0</v>
      </c>
      <c r="T169">
        <f ca="1">subscriptions[[#This Row],[monthly_revenue]]*subscriptions[[#This Row],[customer_lifetime]]</f>
        <v>0</v>
      </c>
      <c r="U169" t="str">
        <f>IF(subscriptions[[#This Row],[feature_usage_pct]]&lt;30,"High Risk",IF(subscriptions[[#This Row],[feature_usage_pct]]&lt;60,"Medium Risk","Low Risk"))</f>
        <v>Medium Risk</v>
      </c>
      <c r="V169">
        <f ca="1">subscriptions[[#This Row],[CLV]]/200</f>
        <v>0</v>
      </c>
    </row>
    <row r="170" spans="1:22" x14ac:dyDescent="0.25">
      <c r="A170" t="s">
        <v>223</v>
      </c>
      <c r="B170" t="s">
        <v>36</v>
      </c>
      <c r="C170" t="s">
        <v>28</v>
      </c>
      <c r="D170" t="s">
        <v>79</v>
      </c>
      <c r="E170" s="2" t="s">
        <v>663</v>
      </c>
      <c r="F170">
        <v>5</v>
      </c>
      <c r="G170">
        <v>270.64</v>
      </c>
      <c r="H170" t="s">
        <v>60</v>
      </c>
      <c r="I170" t="s">
        <v>23</v>
      </c>
      <c r="J170" s="1">
        <v>45266</v>
      </c>
      <c r="K170" t="s">
        <v>26</v>
      </c>
      <c r="N170">
        <v>0</v>
      </c>
      <c r="O170">
        <v>1</v>
      </c>
      <c r="P170">
        <v>55</v>
      </c>
      <c r="Q170" t="s">
        <v>24</v>
      </c>
      <c r="R170">
        <f>IF(subscriptions[[#This Row],[churned]]="Yes",1,0)</f>
        <v>0</v>
      </c>
      <c r="S170">
        <f ca="1">IF(subscriptions[[#This Row],[churn_flag]]=1, DATEDIF(subscriptions[[#This Row],[signup_date]],subscriptions[[#This Row],[churn_date]],"M"), DATEDIF(subscriptions[[#This Row],[signup_date]],TODAY(),"M"))</f>
        <v>29</v>
      </c>
      <c r="T170">
        <f ca="1">subscriptions[[#This Row],[monthly_revenue]]*subscriptions[[#This Row],[customer_lifetime]]</f>
        <v>7848.5599999999995</v>
      </c>
      <c r="U170" t="str">
        <f>IF(subscriptions[[#This Row],[feature_usage_pct]]&lt;30,"High Risk",IF(subscriptions[[#This Row],[feature_usage_pct]]&lt;60,"Medium Risk","Low Risk"))</f>
        <v>Medium Risk</v>
      </c>
      <c r="V170">
        <f ca="1">subscriptions[[#This Row],[CLV]]/200</f>
        <v>39.242799999999995</v>
      </c>
    </row>
    <row r="171" spans="1:22" x14ac:dyDescent="0.25">
      <c r="A171" t="s">
        <v>224</v>
      </c>
      <c r="B171" t="s">
        <v>36</v>
      </c>
      <c r="C171" t="s">
        <v>19</v>
      </c>
      <c r="D171" t="s">
        <v>49</v>
      </c>
      <c r="E171" s="2" t="s">
        <v>663</v>
      </c>
      <c r="F171">
        <v>32</v>
      </c>
      <c r="G171">
        <v>1124.3499999999999</v>
      </c>
      <c r="H171" t="s">
        <v>98</v>
      </c>
      <c r="I171" t="s">
        <v>55</v>
      </c>
      <c r="J171" s="1">
        <v>45582</v>
      </c>
      <c r="K171" t="s">
        <v>26</v>
      </c>
      <c r="N171">
        <v>1</v>
      </c>
      <c r="O171">
        <v>1</v>
      </c>
      <c r="P171">
        <v>91</v>
      </c>
      <c r="Q171" t="s">
        <v>26</v>
      </c>
      <c r="R171">
        <f>IF(subscriptions[[#This Row],[churned]]="Yes",1,0)</f>
        <v>0</v>
      </c>
      <c r="S171">
        <f ca="1">IF(subscriptions[[#This Row],[churn_flag]]=1, DATEDIF(subscriptions[[#This Row],[signup_date]],subscriptions[[#This Row],[churn_date]],"M"), DATEDIF(subscriptions[[#This Row],[signup_date]],TODAY(),"M"))</f>
        <v>18</v>
      </c>
      <c r="T171">
        <f ca="1">subscriptions[[#This Row],[monthly_revenue]]*subscriptions[[#This Row],[customer_lifetime]]</f>
        <v>20238.3</v>
      </c>
      <c r="U171" t="str">
        <f>IF(subscriptions[[#This Row],[feature_usage_pct]]&lt;30,"High Risk",IF(subscriptions[[#This Row],[feature_usage_pct]]&lt;60,"Medium Risk","Low Risk"))</f>
        <v>Low Risk</v>
      </c>
      <c r="V171">
        <f ca="1">subscriptions[[#This Row],[CLV]]/200</f>
        <v>101.19149999999999</v>
      </c>
    </row>
    <row r="172" spans="1:22" x14ac:dyDescent="0.25">
      <c r="A172" t="s">
        <v>225</v>
      </c>
      <c r="B172" t="s">
        <v>31</v>
      </c>
      <c r="C172" t="s">
        <v>19</v>
      </c>
      <c r="D172" t="s">
        <v>32</v>
      </c>
      <c r="E172" s="2" t="s">
        <v>664</v>
      </c>
      <c r="F172">
        <v>7</v>
      </c>
      <c r="G172">
        <v>55.1</v>
      </c>
      <c r="H172" t="s">
        <v>22</v>
      </c>
      <c r="I172" t="s">
        <v>38</v>
      </c>
      <c r="J172" s="1">
        <v>44822</v>
      </c>
      <c r="K172" t="s">
        <v>24</v>
      </c>
      <c r="L172" s="1">
        <v>45138</v>
      </c>
      <c r="M172" t="s">
        <v>53</v>
      </c>
      <c r="N172">
        <v>3</v>
      </c>
      <c r="O172">
        <v>2</v>
      </c>
      <c r="P172">
        <v>24</v>
      </c>
      <c r="Q172" t="s">
        <v>26</v>
      </c>
      <c r="R172">
        <f>IF(subscriptions[[#This Row],[churned]]="Yes",1,0)</f>
        <v>1</v>
      </c>
      <c r="S172">
        <f ca="1">IF(subscriptions[[#This Row],[churn_flag]]=1, DATEDIF(subscriptions[[#This Row],[signup_date]],subscriptions[[#This Row],[churn_date]],"M"), DATEDIF(subscriptions[[#This Row],[signup_date]],TODAY(),"M"))</f>
        <v>10</v>
      </c>
      <c r="T172">
        <f ca="1">subscriptions[[#This Row],[monthly_revenue]]*subscriptions[[#This Row],[customer_lifetime]]</f>
        <v>551</v>
      </c>
      <c r="U172" t="str">
        <f>IF(subscriptions[[#This Row],[feature_usage_pct]]&lt;30,"High Risk",IF(subscriptions[[#This Row],[feature_usage_pct]]&lt;60,"Medium Risk","Low Risk"))</f>
        <v>High Risk</v>
      </c>
      <c r="V172">
        <f ca="1">subscriptions[[#This Row],[CLV]]/200</f>
        <v>2.7549999999999999</v>
      </c>
    </row>
    <row r="173" spans="1:22" x14ac:dyDescent="0.25">
      <c r="A173" t="s">
        <v>226</v>
      </c>
      <c r="B173" t="s">
        <v>36</v>
      </c>
      <c r="C173" t="s">
        <v>19</v>
      </c>
      <c r="D173" t="s">
        <v>52</v>
      </c>
      <c r="E173" s="2" t="s">
        <v>664</v>
      </c>
      <c r="F173">
        <v>5</v>
      </c>
      <c r="G173">
        <v>318.39999999999998</v>
      </c>
      <c r="H173" t="s">
        <v>43</v>
      </c>
      <c r="I173" t="s">
        <v>23</v>
      </c>
      <c r="J173" s="1">
        <v>44752</v>
      </c>
      <c r="K173" t="s">
        <v>24</v>
      </c>
      <c r="L173" s="1">
        <v>45420</v>
      </c>
      <c r="M173" t="s">
        <v>63</v>
      </c>
      <c r="N173">
        <v>14</v>
      </c>
      <c r="O173">
        <v>3</v>
      </c>
      <c r="P173">
        <v>38</v>
      </c>
      <c r="Q173" t="s">
        <v>26</v>
      </c>
      <c r="R173">
        <f>IF(subscriptions[[#This Row],[churned]]="Yes",1,0)</f>
        <v>1</v>
      </c>
      <c r="S173">
        <f ca="1">IF(subscriptions[[#This Row],[churn_flag]]=1, DATEDIF(subscriptions[[#This Row],[signup_date]],subscriptions[[#This Row],[churn_date]],"M"), DATEDIF(subscriptions[[#This Row],[signup_date]],TODAY(),"M"))</f>
        <v>21</v>
      </c>
      <c r="T173">
        <f ca="1">subscriptions[[#This Row],[monthly_revenue]]*subscriptions[[#This Row],[customer_lifetime]]</f>
        <v>6686.4</v>
      </c>
      <c r="U173" t="str">
        <f>IF(subscriptions[[#This Row],[feature_usage_pct]]&lt;30,"High Risk",IF(subscriptions[[#This Row],[feature_usage_pct]]&lt;60,"Medium Risk","Low Risk"))</f>
        <v>Medium Risk</v>
      </c>
      <c r="V173">
        <f ca="1">subscriptions[[#This Row],[CLV]]/200</f>
        <v>33.431999999999995</v>
      </c>
    </row>
    <row r="174" spans="1:22" x14ac:dyDescent="0.25">
      <c r="A174" t="s">
        <v>227</v>
      </c>
      <c r="B174" t="s">
        <v>18</v>
      </c>
      <c r="C174" t="s">
        <v>28</v>
      </c>
      <c r="D174" t="s">
        <v>49</v>
      </c>
      <c r="E174" s="2" t="s">
        <v>664</v>
      </c>
      <c r="F174">
        <v>6</v>
      </c>
      <c r="G174">
        <v>117.51</v>
      </c>
      <c r="H174" t="s">
        <v>98</v>
      </c>
      <c r="I174" t="s">
        <v>55</v>
      </c>
      <c r="J174" s="1">
        <v>45549</v>
      </c>
      <c r="K174" t="s">
        <v>26</v>
      </c>
      <c r="N174">
        <v>12</v>
      </c>
      <c r="O174">
        <v>9</v>
      </c>
      <c r="P174">
        <v>38</v>
      </c>
      <c r="Q174" t="s">
        <v>26</v>
      </c>
      <c r="R174">
        <f>IF(subscriptions[[#This Row],[churned]]="Yes",1,0)</f>
        <v>0</v>
      </c>
      <c r="S174">
        <f ca="1">IF(subscriptions[[#This Row],[churn_flag]]=1, DATEDIF(subscriptions[[#This Row],[signup_date]],subscriptions[[#This Row],[churn_date]],"M"), DATEDIF(subscriptions[[#This Row],[signup_date]],TODAY(),"M"))</f>
        <v>19</v>
      </c>
      <c r="T174">
        <f ca="1">subscriptions[[#This Row],[monthly_revenue]]*subscriptions[[#This Row],[customer_lifetime]]</f>
        <v>2232.69</v>
      </c>
      <c r="U174" t="str">
        <f>IF(subscriptions[[#This Row],[feature_usage_pct]]&lt;30,"High Risk",IF(subscriptions[[#This Row],[feature_usage_pct]]&lt;60,"Medium Risk","Low Risk"))</f>
        <v>Medium Risk</v>
      </c>
      <c r="V174">
        <f ca="1">subscriptions[[#This Row],[CLV]]/200</f>
        <v>11.163450000000001</v>
      </c>
    </row>
    <row r="175" spans="1:22" x14ac:dyDescent="0.25">
      <c r="A175" t="s">
        <v>228</v>
      </c>
      <c r="B175" t="s">
        <v>71</v>
      </c>
      <c r="C175" t="s">
        <v>28</v>
      </c>
      <c r="D175" t="s">
        <v>62</v>
      </c>
      <c r="E175" s="2" t="s">
        <v>45</v>
      </c>
      <c r="F175">
        <v>65</v>
      </c>
      <c r="G175">
        <v>4495.99</v>
      </c>
      <c r="H175" t="s">
        <v>60</v>
      </c>
      <c r="I175" t="s">
        <v>23</v>
      </c>
      <c r="J175" s="1">
        <v>45626</v>
      </c>
      <c r="K175" t="s">
        <v>26</v>
      </c>
      <c r="N175">
        <v>10</v>
      </c>
      <c r="O175">
        <v>2</v>
      </c>
      <c r="P175">
        <v>91</v>
      </c>
      <c r="Q175" t="s">
        <v>26</v>
      </c>
      <c r="R175">
        <f>IF(subscriptions[[#This Row],[churned]]="Yes",1,0)</f>
        <v>0</v>
      </c>
      <c r="S175">
        <f ca="1">IF(subscriptions[[#This Row],[churn_flag]]=1, DATEDIF(subscriptions[[#This Row],[signup_date]],subscriptions[[#This Row],[churn_date]],"M"), DATEDIF(subscriptions[[#This Row],[signup_date]],TODAY(),"M"))</f>
        <v>17</v>
      </c>
      <c r="T175">
        <f ca="1">subscriptions[[#This Row],[monthly_revenue]]*subscriptions[[#This Row],[customer_lifetime]]</f>
        <v>76431.83</v>
      </c>
      <c r="U175" t="str">
        <f>IF(subscriptions[[#This Row],[feature_usage_pct]]&lt;30,"High Risk",IF(subscriptions[[#This Row],[feature_usage_pct]]&lt;60,"Medium Risk","Low Risk"))</f>
        <v>Low Risk</v>
      </c>
      <c r="V175">
        <f ca="1">subscriptions[[#This Row],[CLV]]/200</f>
        <v>382.15915000000001</v>
      </c>
    </row>
    <row r="176" spans="1:22" x14ac:dyDescent="0.25">
      <c r="A176" t="s">
        <v>229</v>
      </c>
      <c r="B176" t="s">
        <v>36</v>
      </c>
      <c r="C176" t="s">
        <v>28</v>
      </c>
      <c r="D176" t="s">
        <v>79</v>
      </c>
      <c r="E176" s="2" t="s">
        <v>21</v>
      </c>
      <c r="F176">
        <v>50</v>
      </c>
      <c r="G176">
        <v>1412.4</v>
      </c>
      <c r="H176" t="s">
        <v>29</v>
      </c>
      <c r="I176" t="s">
        <v>23</v>
      </c>
      <c r="J176" s="1">
        <v>44845</v>
      </c>
      <c r="K176" t="s">
        <v>26</v>
      </c>
      <c r="N176">
        <v>12</v>
      </c>
      <c r="O176">
        <v>8</v>
      </c>
      <c r="P176">
        <v>26</v>
      </c>
      <c r="Q176" t="s">
        <v>26</v>
      </c>
      <c r="R176">
        <f>IF(subscriptions[[#This Row],[churned]]="Yes",1,0)</f>
        <v>0</v>
      </c>
      <c r="S176">
        <f ca="1">IF(subscriptions[[#This Row],[churn_flag]]=1, DATEDIF(subscriptions[[#This Row],[signup_date]],subscriptions[[#This Row],[churn_date]],"M"), DATEDIF(subscriptions[[#This Row],[signup_date]],TODAY(),"M"))</f>
        <v>43</v>
      </c>
      <c r="T176">
        <f ca="1">subscriptions[[#This Row],[monthly_revenue]]*subscriptions[[#This Row],[customer_lifetime]]</f>
        <v>60733.200000000004</v>
      </c>
      <c r="U176" t="str">
        <f>IF(subscriptions[[#This Row],[feature_usage_pct]]&lt;30,"High Risk",IF(subscriptions[[#This Row],[feature_usage_pct]]&lt;60,"Medium Risk","Low Risk"))</f>
        <v>High Risk</v>
      </c>
      <c r="V176">
        <f ca="1">subscriptions[[#This Row],[CLV]]/200</f>
        <v>303.666</v>
      </c>
    </row>
    <row r="177" spans="1:22" x14ac:dyDescent="0.25">
      <c r="A177" t="s">
        <v>230</v>
      </c>
      <c r="B177" t="s">
        <v>31</v>
      </c>
      <c r="C177" t="s">
        <v>19</v>
      </c>
      <c r="D177" t="s">
        <v>49</v>
      </c>
      <c r="E177" s="2" t="s">
        <v>33</v>
      </c>
      <c r="F177">
        <v>205</v>
      </c>
      <c r="G177">
        <v>916.4</v>
      </c>
      <c r="H177" t="s">
        <v>98</v>
      </c>
      <c r="I177" t="s">
        <v>23</v>
      </c>
      <c r="J177" s="1">
        <v>45144</v>
      </c>
      <c r="K177" t="s">
        <v>24</v>
      </c>
      <c r="L177" s="1">
        <v>45180</v>
      </c>
      <c r="M177" t="s">
        <v>53</v>
      </c>
      <c r="N177">
        <v>7</v>
      </c>
      <c r="O177">
        <v>3</v>
      </c>
      <c r="P177">
        <v>19</v>
      </c>
      <c r="Q177" t="s">
        <v>26</v>
      </c>
      <c r="R177">
        <f>IF(subscriptions[[#This Row],[churned]]="Yes",1,0)</f>
        <v>1</v>
      </c>
      <c r="S177">
        <f ca="1">IF(subscriptions[[#This Row],[churn_flag]]=1, DATEDIF(subscriptions[[#This Row],[signup_date]],subscriptions[[#This Row],[churn_date]],"M"), DATEDIF(subscriptions[[#This Row],[signup_date]],TODAY(),"M"))</f>
        <v>1</v>
      </c>
      <c r="T177">
        <f ca="1">subscriptions[[#This Row],[monthly_revenue]]*subscriptions[[#This Row],[customer_lifetime]]</f>
        <v>916.4</v>
      </c>
      <c r="U177" t="str">
        <f>IF(subscriptions[[#This Row],[feature_usage_pct]]&lt;30,"High Risk",IF(subscriptions[[#This Row],[feature_usage_pct]]&lt;60,"Medium Risk","Low Risk"))</f>
        <v>High Risk</v>
      </c>
      <c r="V177">
        <f ca="1">subscriptions[[#This Row],[CLV]]/200</f>
        <v>4.5819999999999999</v>
      </c>
    </row>
    <row r="178" spans="1:22" x14ac:dyDescent="0.25">
      <c r="A178" t="s">
        <v>231</v>
      </c>
      <c r="B178" t="s">
        <v>18</v>
      </c>
      <c r="C178" t="s">
        <v>19</v>
      </c>
      <c r="D178" t="s">
        <v>42</v>
      </c>
      <c r="E178" s="2" t="s">
        <v>33</v>
      </c>
      <c r="F178">
        <v>239</v>
      </c>
      <c r="G178">
        <v>2899.3</v>
      </c>
      <c r="H178" t="s">
        <v>34</v>
      </c>
      <c r="I178" t="s">
        <v>55</v>
      </c>
      <c r="J178" s="1">
        <v>45632</v>
      </c>
      <c r="K178" t="s">
        <v>24</v>
      </c>
      <c r="L178" s="1">
        <v>45970</v>
      </c>
      <c r="M178" t="s">
        <v>46</v>
      </c>
      <c r="N178">
        <v>4</v>
      </c>
      <c r="O178">
        <v>6</v>
      </c>
      <c r="P178">
        <v>14</v>
      </c>
      <c r="Q178" t="s">
        <v>26</v>
      </c>
      <c r="R178">
        <f>IF(subscriptions[[#This Row],[churned]]="Yes",1,0)</f>
        <v>1</v>
      </c>
      <c r="S178">
        <f ca="1">IF(subscriptions[[#This Row],[churn_flag]]=1, DATEDIF(subscriptions[[#This Row],[signup_date]],subscriptions[[#This Row],[churn_date]],"M"), DATEDIF(subscriptions[[#This Row],[signup_date]],TODAY(),"M"))</f>
        <v>11</v>
      </c>
      <c r="T178">
        <f ca="1">subscriptions[[#This Row],[monthly_revenue]]*subscriptions[[#This Row],[customer_lifetime]]</f>
        <v>31892.300000000003</v>
      </c>
      <c r="U178" t="str">
        <f>IF(subscriptions[[#This Row],[feature_usage_pct]]&lt;30,"High Risk",IF(subscriptions[[#This Row],[feature_usage_pct]]&lt;60,"Medium Risk","Low Risk"))</f>
        <v>High Risk</v>
      </c>
      <c r="V178">
        <f ca="1">subscriptions[[#This Row],[CLV]]/200</f>
        <v>159.4615</v>
      </c>
    </row>
    <row r="179" spans="1:22" x14ac:dyDescent="0.25">
      <c r="A179" t="s">
        <v>232</v>
      </c>
      <c r="B179" t="s">
        <v>18</v>
      </c>
      <c r="C179" t="s">
        <v>28</v>
      </c>
      <c r="D179" t="s">
        <v>40</v>
      </c>
      <c r="E179" s="2" t="s">
        <v>663</v>
      </c>
      <c r="F179">
        <v>31</v>
      </c>
      <c r="G179">
        <v>369.33</v>
      </c>
      <c r="H179" t="s">
        <v>29</v>
      </c>
      <c r="I179" t="s">
        <v>55</v>
      </c>
      <c r="J179" s="1">
        <v>45546</v>
      </c>
      <c r="K179" t="s">
        <v>26</v>
      </c>
      <c r="N179">
        <v>4</v>
      </c>
      <c r="O179">
        <v>6</v>
      </c>
      <c r="P179">
        <v>81</v>
      </c>
      <c r="Q179" t="s">
        <v>26</v>
      </c>
      <c r="R179">
        <f>IF(subscriptions[[#This Row],[churned]]="Yes",1,0)</f>
        <v>0</v>
      </c>
      <c r="S179">
        <f ca="1">IF(subscriptions[[#This Row],[churn_flag]]=1, DATEDIF(subscriptions[[#This Row],[signup_date]],subscriptions[[#This Row],[churn_date]],"M"), DATEDIF(subscriptions[[#This Row],[signup_date]],TODAY(),"M"))</f>
        <v>20</v>
      </c>
      <c r="T179">
        <f ca="1">subscriptions[[#This Row],[monthly_revenue]]*subscriptions[[#This Row],[customer_lifetime]]</f>
        <v>7386.5999999999995</v>
      </c>
      <c r="U179" t="str">
        <f>IF(subscriptions[[#This Row],[feature_usage_pct]]&lt;30,"High Risk",IF(subscriptions[[#This Row],[feature_usage_pct]]&lt;60,"Medium Risk","Low Risk"))</f>
        <v>Low Risk</v>
      </c>
      <c r="V179">
        <f ca="1">subscriptions[[#This Row],[CLV]]/200</f>
        <v>36.933</v>
      </c>
    </row>
    <row r="180" spans="1:22" x14ac:dyDescent="0.25">
      <c r="A180" t="s">
        <v>233</v>
      </c>
      <c r="B180" t="s">
        <v>31</v>
      </c>
      <c r="C180" t="s">
        <v>19</v>
      </c>
      <c r="D180" t="s">
        <v>79</v>
      </c>
      <c r="E180" s="2" t="s">
        <v>21</v>
      </c>
      <c r="F180">
        <v>67</v>
      </c>
      <c r="G180">
        <v>316.10000000000002</v>
      </c>
      <c r="H180" t="s">
        <v>43</v>
      </c>
      <c r="I180" t="s">
        <v>38</v>
      </c>
      <c r="J180" s="1">
        <v>45468</v>
      </c>
      <c r="K180" t="s">
        <v>26</v>
      </c>
      <c r="N180">
        <v>3</v>
      </c>
      <c r="O180">
        <v>10</v>
      </c>
      <c r="P180">
        <v>26</v>
      </c>
      <c r="Q180" t="s">
        <v>26</v>
      </c>
      <c r="R180">
        <f>IF(subscriptions[[#This Row],[churned]]="Yes",1,0)</f>
        <v>0</v>
      </c>
      <c r="S180">
        <f ca="1">IF(subscriptions[[#This Row],[churn_flag]]=1, DATEDIF(subscriptions[[#This Row],[signup_date]],subscriptions[[#This Row],[churn_date]],"M"), DATEDIF(subscriptions[[#This Row],[signup_date]],TODAY(),"M"))</f>
        <v>22</v>
      </c>
      <c r="T180">
        <f ca="1">subscriptions[[#This Row],[monthly_revenue]]*subscriptions[[#This Row],[customer_lifetime]]</f>
        <v>6954.2000000000007</v>
      </c>
      <c r="U180" t="str">
        <f>IF(subscriptions[[#This Row],[feature_usage_pct]]&lt;30,"High Risk",IF(subscriptions[[#This Row],[feature_usage_pct]]&lt;60,"Medium Risk","Low Risk"))</f>
        <v>High Risk</v>
      </c>
      <c r="V180">
        <f ca="1">subscriptions[[#This Row],[CLV]]/200</f>
        <v>34.771000000000001</v>
      </c>
    </row>
    <row r="181" spans="1:22" x14ac:dyDescent="0.25">
      <c r="A181" t="s">
        <v>234</v>
      </c>
      <c r="B181" t="s">
        <v>18</v>
      </c>
      <c r="C181" t="s">
        <v>28</v>
      </c>
      <c r="D181" t="s">
        <v>37</v>
      </c>
      <c r="E181" s="2" t="s">
        <v>21</v>
      </c>
      <c r="F181">
        <v>29</v>
      </c>
      <c r="G181">
        <v>349.18</v>
      </c>
      <c r="H181" t="s">
        <v>43</v>
      </c>
      <c r="I181" t="s">
        <v>23</v>
      </c>
      <c r="J181" s="1">
        <v>44846</v>
      </c>
      <c r="K181" t="s">
        <v>24</v>
      </c>
      <c r="L181" s="1">
        <v>45741</v>
      </c>
      <c r="M181" t="s">
        <v>53</v>
      </c>
      <c r="N181">
        <v>2</v>
      </c>
      <c r="O181">
        <v>5</v>
      </c>
      <c r="P181">
        <v>42</v>
      </c>
      <c r="Q181" t="s">
        <v>26</v>
      </c>
      <c r="R181">
        <f>IF(subscriptions[[#This Row],[churned]]="Yes",1,0)</f>
        <v>1</v>
      </c>
      <c r="S181">
        <f ca="1">IF(subscriptions[[#This Row],[churn_flag]]=1, DATEDIF(subscriptions[[#This Row],[signup_date]],subscriptions[[#This Row],[churn_date]],"M"), DATEDIF(subscriptions[[#This Row],[signup_date]],TODAY(),"M"))</f>
        <v>29</v>
      </c>
      <c r="T181">
        <f ca="1">subscriptions[[#This Row],[monthly_revenue]]*subscriptions[[#This Row],[customer_lifetime]]</f>
        <v>10126.219999999999</v>
      </c>
      <c r="U181" t="str">
        <f>IF(subscriptions[[#This Row],[feature_usage_pct]]&lt;30,"High Risk",IF(subscriptions[[#This Row],[feature_usage_pct]]&lt;60,"Medium Risk","Low Risk"))</f>
        <v>Medium Risk</v>
      </c>
      <c r="V181">
        <f ca="1">subscriptions[[#This Row],[CLV]]/200</f>
        <v>50.631099999999996</v>
      </c>
    </row>
    <row r="182" spans="1:22" x14ac:dyDescent="0.25">
      <c r="A182" t="s">
        <v>235</v>
      </c>
      <c r="B182" t="s">
        <v>18</v>
      </c>
      <c r="C182" t="s">
        <v>19</v>
      </c>
      <c r="D182" t="s">
        <v>62</v>
      </c>
      <c r="E182" s="2" t="s">
        <v>664</v>
      </c>
      <c r="F182">
        <v>4</v>
      </c>
      <c r="G182">
        <v>114.55</v>
      </c>
      <c r="H182" t="s">
        <v>60</v>
      </c>
      <c r="I182" t="s">
        <v>23</v>
      </c>
      <c r="J182" s="1">
        <v>45330</v>
      </c>
      <c r="K182" t="s">
        <v>24</v>
      </c>
      <c r="L182" s="1">
        <v>45405</v>
      </c>
      <c r="M182" t="s">
        <v>25</v>
      </c>
      <c r="N182">
        <v>9</v>
      </c>
      <c r="O182">
        <v>4</v>
      </c>
      <c r="P182">
        <v>44</v>
      </c>
      <c r="Q182" t="s">
        <v>26</v>
      </c>
      <c r="R182">
        <f>IF(subscriptions[[#This Row],[churned]]="Yes",1,0)</f>
        <v>1</v>
      </c>
      <c r="S182">
        <f ca="1">IF(subscriptions[[#This Row],[churn_flag]]=1, DATEDIF(subscriptions[[#This Row],[signup_date]],subscriptions[[#This Row],[churn_date]],"M"), DATEDIF(subscriptions[[#This Row],[signup_date]],TODAY(),"M"))</f>
        <v>2</v>
      </c>
      <c r="T182">
        <f ca="1">subscriptions[[#This Row],[monthly_revenue]]*subscriptions[[#This Row],[customer_lifetime]]</f>
        <v>229.1</v>
      </c>
      <c r="U182" t="str">
        <f>IF(subscriptions[[#This Row],[feature_usage_pct]]&lt;30,"High Risk",IF(subscriptions[[#This Row],[feature_usage_pct]]&lt;60,"Medium Risk","Low Risk"))</f>
        <v>Medium Risk</v>
      </c>
      <c r="V182">
        <f ca="1">subscriptions[[#This Row],[CLV]]/200</f>
        <v>1.1455</v>
      </c>
    </row>
    <row r="183" spans="1:22" x14ac:dyDescent="0.25">
      <c r="A183" t="s">
        <v>236</v>
      </c>
      <c r="B183" t="s">
        <v>18</v>
      </c>
      <c r="C183" t="s">
        <v>28</v>
      </c>
      <c r="D183" t="s">
        <v>37</v>
      </c>
      <c r="E183" s="2" t="s">
        <v>21</v>
      </c>
      <c r="F183">
        <v>76</v>
      </c>
      <c r="G183">
        <v>822.59</v>
      </c>
      <c r="H183" t="s">
        <v>34</v>
      </c>
      <c r="I183" t="s">
        <v>38</v>
      </c>
      <c r="J183" s="1">
        <v>45414</v>
      </c>
      <c r="K183" t="s">
        <v>26</v>
      </c>
      <c r="N183">
        <v>9</v>
      </c>
      <c r="O183">
        <v>6</v>
      </c>
      <c r="P183">
        <v>37</v>
      </c>
      <c r="Q183" t="s">
        <v>26</v>
      </c>
      <c r="R183">
        <f>IF(subscriptions[[#This Row],[churned]]="Yes",1,0)</f>
        <v>0</v>
      </c>
      <c r="S183">
        <f ca="1">IF(subscriptions[[#This Row],[churn_flag]]=1, DATEDIF(subscriptions[[#This Row],[signup_date]],subscriptions[[#This Row],[churn_date]],"M"), DATEDIF(subscriptions[[#This Row],[signup_date]],TODAY(),"M"))</f>
        <v>24</v>
      </c>
      <c r="T183">
        <f ca="1">subscriptions[[#This Row],[monthly_revenue]]*subscriptions[[#This Row],[customer_lifetime]]</f>
        <v>19742.16</v>
      </c>
      <c r="U183" t="str">
        <f>IF(subscriptions[[#This Row],[feature_usage_pct]]&lt;30,"High Risk",IF(subscriptions[[#This Row],[feature_usage_pct]]&lt;60,"Medium Risk","Low Risk"))</f>
        <v>Medium Risk</v>
      </c>
      <c r="V183">
        <f ca="1">subscriptions[[#This Row],[CLV]]/200</f>
        <v>98.710800000000006</v>
      </c>
    </row>
    <row r="184" spans="1:22" x14ac:dyDescent="0.25">
      <c r="A184" t="s">
        <v>237</v>
      </c>
      <c r="B184" t="s">
        <v>31</v>
      </c>
      <c r="C184" t="s">
        <v>28</v>
      </c>
      <c r="D184" t="s">
        <v>62</v>
      </c>
      <c r="E184" s="2" t="s">
        <v>45</v>
      </c>
      <c r="F184">
        <v>83</v>
      </c>
      <c r="G184">
        <v>327.84</v>
      </c>
      <c r="H184" t="s">
        <v>34</v>
      </c>
      <c r="I184" t="s">
        <v>23</v>
      </c>
      <c r="J184" s="1">
        <v>45200</v>
      </c>
      <c r="K184" t="s">
        <v>24</v>
      </c>
      <c r="L184" s="1">
        <v>45663</v>
      </c>
      <c r="M184" t="s">
        <v>53</v>
      </c>
      <c r="N184">
        <v>8</v>
      </c>
      <c r="O184">
        <v>4</v>
      </c>
      <c r="P184">
        <v>26</v>
      </c>
      <c r="Q184" t="s">
        <v>26</v>
      </c>
      <c r="R184">
        <f>IF(subscriptions[[#This Row],[churned]]="Yes",1,0)</f>
        <v>1</v>
      </c>
      <c r="S184">
        <f ca="1">IF(subscriptions[[#This Row],[churn_flag]]=1, DATEDIF(subscriptions[[#This Row],[signup_date]],subscriptions[[#This Row],[churn_date]],"M"), DATEDIF(subscriptions[[#This Row],[signup_date]],TODAY(),"M"))</f>
        <v>15</v>
      </c>
      <c r="T184">
        <f ca="1">subscriptions[[#This Row],[monthly_revenue]]*subscriptions[[#This Row],[customer_lifetime]]</f>
        <v>4917.5999999999995</v>
      </c>
      <c r="U184" t="str">
        <f>IF(subscriptions[[#This Row],[feature_usage_pct]]&lt;30,"High Risk",IF(subscriptions[[#This Row],[feature_usage_pct]]&lt;60,"Medium Risk","Low Risk"))</f>
        <v>High Risk</v>
      </c>
      <c r="V184">
        <f ca="1">subscriptions[[#This Row],[CLV]]/200</f>
        <v>24.587999999999997</v>
      </c>
    </row>
    <row r="185" spans="1:22" x14ac:dyDescent="0.25">
      <c r="A185" t="s">
        <v>238</v>
      </c>
      <c r="B185" t="s">
        <v>31</v>
      </c>
      <c r="C185" t="s">
        <v>19</v>
      </c>
      <c r="D185" t="s">
        <v>40</v>
      </c>
      <c r="E185" s="2" t="s">
        <v>664</v>
      </c>
      <c r="F185">
        <v>7</v>
      </c>
      <c r="G185">
        <v>55.1</v>
      </c>
      <c r="H185" t="s">
        <v>34</v>
      </c>
      <c r="I185" t="s">
        <v>38</v>
      </c>
      <c r="J185" s="1">
        <v>45616</v>
      </c>
      <c r="K185" t="s">
        <v>26</v>
      </c>
      <c r="N185">
        <v>8</v>
      </c>
      <c r="O185">
        <v>2</v>
      </c>
      <c r="P185">
        <v>63</v>
      </c>
      <c r="Q185" t="s">
        <v>26</v>
      </c>
      <c r="R185">
        <f>IF(subscriptions[[#This Row],[churned]]="Yes",1,0)</f>
        <v>0</v>
      </c>
      <c r="S185">
        <f ca="1">IF(subscriptions[[#This Row],[churn_flag]]=1, DATEDIF(subscriptions[[#This Row],[signup_date]],subscriptions[[#This Row],[churn_date]],"M"), DATEDIF(subscriptions[[#This Row],[signup_date]],TODAY(),"M"))</f>
        <v>17</v>
      </c>
      <c r="T185">
        <f ca="1">subscriptions[[#This Row],[monthly_revenue]]*subscriptions[[#This Row],[customer_lifetime]]</f>
        <v>936.7</v>
      </c>
      <c r="U185" t="str">
        <f>IF(subscriptions[[#This Row],[feature_usage_pct]]&lt;30,"High Risk",IF(subscriptions[[#This Row],[feature_usage_pct]]&lt;60,"Medium Risk","Low Risk"))</f>
        <v>Low Risk</v>
      </c>
      <c r="V185">
        <f ca="1">subscriptions[[#This Row],[CLV]]/200</f>
        <v>4.6835000000000004</v>
      </c>
    </row>
    <row r="186" spans="1:22" x14ac:dyDescent="0.25">
      <c r="A186" t="s">
        <v>239</v>
      </c>
      <c r="B186" t="s">
        <v>18</v>
      </c>
      <c r="C186" t="s">
        <v>28</v>
      </c>
      <c r="D186" t="s">
        <v>49</v>
      </c>
      <c r="E186" s="2" t="s">
        <v>45</v>
      </c>
      <c r="F186">
        <v>96</v>
      </c>
      <c r="G186">
        <v>1024.04</v>
      </c>
      <c r="H186" t="s">
        <v>43</v>
      </c>
      <c r="I186" t="s">
        <v>23</v>
      </c>
      <c r="J186" s="1">
        <v>45978</v>
      </c>
      <c r="K186" t="s">
        <v>26</v>
      </c>
      <c r="N186">
        <v>3</v>
      </c>
      <c r="O186">
        <v>8</v>
      </c>
      <c r="P186">
        <v>48</v>
      </c>
      <c r="Q186" t="s">
        <v>26</v>
      </c>
      <c r="R186">
        <f>IF(subscriptions[[#This Row],[churned]]="Yes",1,0)</f>
        <v>0</v>
      </c>
      <c r="S186">
        <f ca="1">IF(subscriptions[[#This Row],[churn_flag]]=1, DATEDIF(subscriptions[[#This Row],[signup_date]],subscriptions[[#This Row],[churn_date]],"M"), DATEDIF(subscriptions[[#This Row],[signup_date]],TODAY(),"M"))</f>
        <v>5</v>
      </c>
      <c r="T186">
        <f ca="1">subscriptions[[#This Row],[monthly_revenue]]*subscriptions[[#This Row],[customer_lifetime]]</f>
        <v>5120.2</v>
      </c>
      <c r="U186" t="str">
        <f>IF(subscriptions[[#This Row],[feature_usage_pct]]&lt;30,"High Risk",IF(subscriptions[[#This Row],[feature_usage_pct]]&lt;60,"Medium Risk","Low Risk"))</f>
        <v>Medium Risk</v>
      </c>
      <c r="V186">
        <f ca="1">subscriptions[[#This Row],[CLV]]/200</f>
        <v>25.600999999999999</v>
      </c>
    </row>
    <row r="187" spans="1:22" x14ac:dyDescent="0.25">
      <c r="A187" t="s">
        <v>240</v>
      </c>
      <c r="B187" t="s">
        <v>36</v>
      </c>
      <c r="C187" t="s">
        <v>19</v>
      </c>
      <c r="D187" t="s">
        <v>32</v>
      </c>
      <c r="E187" s="2" t="s">
        <v>664</v>
      </c>
      <c r="F187">
        <v>6</v>
      </c>
      <c r="G187">
        <v>348.25</v>
      </c>
      <c r="H187" t="s">
        <v>34</v>
      </c>
      <c r="I187" t="s">
        <v>55</v>
      </c>
      <c r="J187" s="1">
        <v>45833</v>
      </c>
      <c r="K187" t="s">
        <v>24</v>
      </c>
      <c r="L187" s="1">
        <v>45989</v>
      </c>
      <c r="M187" t="s">
        <v>53</v>
      </c>
      <c r="N187">
        <v>3</v>
      </c>
      <c r="O187">
        <v>2</v>
      </c>
      <c r="P187">
        <v>17</v>
      </c>
      <c r="Q187" t="s">
        <v>26</v>
      </c>
      <c r="R187">
        <f>IF(subscriptions[[#This Row],[churned]]="Yes",1,0)</f>
        <v>1</v>
      </c>
      <c r="S187">
        <f ca="1">IF(subscriptions[[#This Row],[churn_flag]]=1, DATEDIF(subscriptions[[#This Row],[signup_date]],subscriptions[[#This Row],[churn_date]],"M"), DATEDIF(subscriptions[[#This Row],[signup_date]],TODAY(),"M"))</f>
        <v>5</v>
      </c>
      <c r="T187">
        <f ca="1">subscriptions[[#This Row],[monthly_revenue]]*subscriptions[[#This Row],[customer_lifetime]]</f>
        <v>1741.25</v>
      </c>
      <c r="U187" t="str">
        <f>IF(subscriptions[[#This Row],[feature_usage_pct]]&lt;30,"High Risk",IF(subscriptions[[#This Row],[feature_usage_pct]]&lt;60,"Medium Risk","Low Risk"))</f>
        <v>High Risk</v>
      </c>
      <c r="V187">
        <f ca="1">subscriptions[[#This Row],[CLV]]/200</f>
        <v>8.7062500000000007</v>
      </c>
    </row>
    <row r="188" spans="1:22" x14ac:dyDescent="0.25">
      <c r="A188" t="s">
        <v>241</v>
      </c>
      <c r="B188" t="s">
        <v>18</v>
      </c>
      <c r="C188" t="s">
        <v>19</v>
      </c>
      <c r="D188" t="s">
        <v>62</v>
      </c>
      <c r="E188" s="2" t="s">
        <v>664</v>
      </c>
      <c r="F188">
        <v>4</v>
      </c>
      <c r="G188">
        <v>114.55</v>
      </c>
      <c r="H188" t="s">
        <v>60</v>
      </c>
      <c r="I188" t="s">
        <v>55</v>
      </c>
      <c r="J188" s="1">
        <v>45545</v>
      </c>
      <c r="K188" t="s">
        <v>24</v>
      </c>
      <c r="L188" s="1">
        <v>45626</v>
      </c>
      <c r="M188" t="s">
        <v>25</v>
      </c>
      <c r="N188">
        <v>9</v>
      </c>
      <c r="O188">
        <v>3</v>
      </c>
      <c r="P188">
        <v>24</v>
      </c>
      <c r="Q188" t="s">
        <v>26</v>
      </c>
      <c r="R188">
        <f>IF(subscriptions[[#This Row],[churned]]="Yes",1,0)</f>
        <v>1</v>
      </c>
      <c r="S188">
        <f ca="1">IF(subscriptions[[#This Row],[churn_flag]]=1, DATEDIF(subscriptions[[#This Row],[signup_date]],subscriptions[[#This Row],[churn_date]],"M"), DATEDIF(subscriptions[[#This Row],[signup_date]],TODAY(),"M"))</f>
        <v>2</v>
      </c>
      <c r="T188">
        <f ca="1">subscriptions[[#This Row],[monthly_revenue]]*subscriptions[[#This Row],[customer_lifetime]]</f>
        <v>229.1</v>
      </c>
      <c r="U188" t="str">
        <f>IF(subscriptions[[#This Row],[feature_usage_pct]]&lt;30,"High Risk",IF(subscriptions[[#This Row],[feature_usage_pct]]&lt;60,"Medium Risk","Low Risk"))</f>
        <v>High Risk</v>
      </c>
      <c r="V188">
        <f ca="1">subscriptions[[#This Row],[CLV]]/200</f>
        <v>1.1455</v>
      </c>
    </row>
    <row r="189" spans="1:22" x14ac:dyDescent="0.25">
      <c r="A189" t="s">
        <v>242</v>
      </c>
      <c r="B189" t="s">
        <v>36</v>
      </c>
      <c r="C189" t="s">
        <v>19</v>
      </c>
      <c r="D189" t="s">
        <v>52</v>
      </c>
      <c r="E189" s="2" t="s">
        <v>663</v>
      </c>
      <c r="F189">
        <v>28</v>
      </c>
      <c r="G189">
        <v>1004.95</v>
      </c>
      <c r="H189" t="s">
        <v>43</v>
      </c>
      <c r="I189" t="s">
        <v>55</v>
      </c>
      <c r="J189" s="1">
        <v>44784</v>
      </c>
      <c r="K189" t="s">
        <v>24</v>
      </c>
      <c r="L189" s="1">
        <v>45650</v>
      </c>
      <c r="M189" t="s">
        <v>50</v>
      </c>
      <c r="N189">
        <v>13</v>
      </c>
      <c r="O189">
        <v>4</v>
      </c>
      <c r="P189">
        <v>15</v>
      </c>
      <c r="Q189" t="s">
        <v>26</v>
      </c>
      <c r="R189">
        <f>IF(subscriptions[[#This Row],[churned]]="Yes",1,0)</f>
        <v>1</v>
      </c>
      <c r="S189">
        <f ca="1">IF(subscriptions[[#This Row],[churn_flag]]=1, DATEDIF(subscriptions[[#This Row],[signup_date]],subscriptions[[#This Row],[churn_date]],"M"), DATEDIF(subscriptions[[#This Row],[signup_date]],TODAY(),"M"))</f>
        <v>28</v>
      </c>
      <c r="T189">
        <f ca="1">subscriptions[[#This Row],[monthly_revenue]]*subscriptions[[#This Row],[customer_lifetime]]</f>
        <v>28138.600000000002</v>
      </c>
      <c r="U189" t="str">
        <f>IF(subscriptions[[#This Row],[feature_usage_pct]]&lt;30,"High Risk",IF(subscriptions[[#This Row],[feature_usage_pct]]&lt;60,"Medium Risk","Low Risk"))</f>
        <v>High Risk</v>
      </c>
      <c r="V189">
        <f ca="1">subscriptions[[#This Row],[CLV]]/200</f>
        <v>140.69300000000001</v>
      </c>
    </row>
    <row r="190" spans="1:22" x14ac:dyDescent="0.25">
      <c r="A190" t="s">
        <v>243</v>
      </c>
      <c r="B190" t="s">
        <v>31</v>
      </c>
      <c r="C190" t="s">
        <v>19</v>
      </c>
      <c r="D190" t="s">
        <v>79</v>
      </c>
      <c r="E190" s="2" t="s">
        <v>45</v>
      </c>
      <c r="F190">
        <v>141</v>
      </c>
      <c r="G190">
        <v>638</v>
      </c>
      <c r="H190" t="s">
        <v>29</v>
      </c>
      <c r="I190" t="s">
        <v>23</v>
      </c>
      <c r="J190" s="1">
        <v>45911</v>
      </c>
      <c r="K190" t="s">
        <v>26</v>
      </c>
      <c r="N190">
        <v>11</v>
      </c>
      <c r="O190">
        <v>4</v>
      </c>
      <c r="P190">
        <v>88</v>
      </c>
      <c r="Q190" t="s">
        <v>26</v>
      </c>
      <c r="R190">
        <f>IF(subscriptions[[#This Row],[churned]]="Yes",1,0)</f>
        <v>0</v>
      </c>
      <c r="S190">
        <f ca="1">IF(subscriptions[[#This Row],[churn_flag]]=1, DATEDIF(subscriptions[[#This Row],[signup_date]],subscriptions[[#This Row],[churn_date]],"M"), DATEDIF(subscriptions[[#This Row],[signup_date]],TODAY(),"M"))</f>
        <v>8</v>
      </c>
      <c r="T190">
        <f ca="1">subscriptions[[#This Row],[monthly_revenue]]*subscriptions[[#This Row],[customer_lifetime]]</f>
        <v>5104</v>
      </c>
      <c r="U190" t="str">
        <f>IF(subscriptions[[#This Row],[feature_usage_pct]]&lt;30,"High Risk",IF(subscriptions[[#This Row],[feature_usage_pct]]&lt;60,"Medium Risk","Low Risk"))</f>
        <v>Low Risk</v>
      </c>
      <c r="V190">
        <f ca="1">subscriptions[[#This Row],[CLV]]/200</f>
        <v>25.52</v>
      </c>
    </row>
    <row r="191" spans="1:22" x14ac:dyDescent="0.25">
      <c r="A191" t="s">
        <v>244</v>
      </c>
      <c r="B191" t="s">
        <v>18</v>
      </c>
      <c r="C191" t="s">
        <v>19</v>
      </c>
      <c r="D191" t="s">
        <v>79</v>
      </c>
      <c r="E191" s="2" t="s">
        <v>21</v>
      </c>
      <c r="F191">
        <v>70</v>
      </c>
      <c r="G191">
        <v>896.65</v>
      </c>
      <c r="H191" t="s">
        <v>98</v>
      </c>
      <c r="I191" t="s">
        <v>23</v>
      </c>
      <c r="J191" s="1">
        <v>45117</v>
      </c>
      <c r="K191" t="s">
        <v>26</v>
      </c>
      <c r="N191">
        <v>7</v>
      </c>
      <c r="O191">
        <v>10</v>
      </c>
      <c r="P191">
        <v>63</v>
      </c>
      <c r="Q191" t="s">
        <v>26</v>
      </c>
      <c r="R191">
        <f>IF(subscriptions[[#This Row],[churned]]="Yes",1,0)</f>
        <v>0</v>
      </c>
      <c r="S191">
        <f ca="1">IF(subscriptions[[#This Row],[churn_flag]]=1, DATEDIF(subscriptions[[#This Row],[signup_date]],subscriptions[[#This Row],[churn_date]],"M"), DATEDIF(subscriptions[[#This Row],[signup_date]],TODAY(),"M"))</f>
        <v>34</v>
      </c>
      <c r="T191">
        <f ca="1">subscriptions[[#This Row],[monthly_revenue]]*subscriptions[[#This Row],[customer_lifetime]]</f>
        <v>30486.1</v>
      </c>
      <c r="U191" t="str">
        <f>IF(subscriptions[[#This Row],[feature_usage_pct]]&lt;30,"High Risk",IF(subscriptions[[#This Row],[feature_usage_pct]]&lt;60,"Medium Risk","Low Risk"))</f>
        <v>Low Risk</v>
      </c>
      <c r="V191">
        <f ca="1">subscriptions[[#This Row],[CLV]]/200</f>
        <v>152.43049999999999</v>
      </c>
    </row>
    <row r="192" spans="1:22" x14ac:dyDescent="0.25">
      <c r="A192" t="s">
        <v>245</v>
      </c>
      <c r="B192" t="s">
        <v>31</v>
      </c>
      <c r="C192" t="s">
        <v>19</v>
      </c>
      <c r="D192" t="s">
        <v>49</v>
      </c>
      <c r="E192" s="2" t="s">
        <v>663</v>
      </c>
      <c r="F192">
        <v>30</v>
      </c>
      <c r="G192">
        <v>155.15</v>
      </c>
      <c r="H192" t="s">
        <v>34</v>
      </c>
      <c r="I192" t="s">
        <v>23</v>
      </c>
      <c r="J192" s="1">
        <v>44916</v>
      </c>
      <c r="K192" t="s">
        <v>24</v>
      </c>
      <c r="L192" s="1">
        <v>44951</v>
      </c>
      <c r="M192" t="s">
        <v>63</v>
      </c>
      <c r="N192">
        <v>15</v>
      </c>
      <c r="O192">
        <v>2</v>
      </c>
      <c r="P192">
        <v>23</v>
      </c>
      <c r="Q192" t="s">
        <v>26</v>
      </c>
      <c r="R192">
        <f>IF(subscriptions[[#This Row],[churned]]="Yes",1,0)</f>
        <v>1</v>
      </c>
      <c r="S192">
        <f ca="1">IF(subscriptions[[#This Row],[churn_flag]]=1, DATEDIF(subscriptions[[#This Row],[signup_date]],subscriptions[[#This Row],[churn_date]],"M"), DATEDIF(subscriptions[[#This Row],[signup_date]],TODAY(),"M"))</f>
        <v>1</v>
      </c>
      <c r="T192">
        <f ca="1">subscriptions[[#This Row],[monthly_revenue]]*subscriptions[[#This Row],[customer_lifetime]]</f>
        <v>155.15</v>
      </c>
      <c r="U192" t="str">
        <f>IF(subscriptions[[#This Row],[feature_usage_pct]]&lt;30,"High Risk",IF(subscriptions[[#This Row],[feature_usage_pct]]&lt;60,"Medium Risk","Low Risk"))</f>
        <v>High Risk</v>
      </c>
      <c r="V192">
        <f ca="1">subscriptions[[#This Row],[CLV]]/200</f>
        <v>0.77575000000000005</v>
      </c>
    </row>
    <row r="193" spans="1:22" x14ac:dyDescent="0.25">
      <c r="A193" t="s">
        <v>246</v>
      </c>
      <c r="B193" t="s">
        <v>36</v>
      </c>
      <c r="C193" t="s">
        <v>19</v>
      </c>
      <c r="D193" t="s">
        <v>37</v>
      </c>
      <c r="E193" s="2" t="s">
        <v>21</v>
      </c>
      <c r="F193">
        <v>74</v>
      </c>
      <c r="G193">
        <v>2378.0500000000002</v>
      </c>
      <c r="H193" t="s">
        <v>98</v>
      </c>
      <c r="I193" t="s">
        <v>23</v>
      </c>
      <c r="J193" s="1">
        <v>44636</v>
      </c>
      <c r="K193" t="s">
        <v>26</v>
      </c>
      <c r="N193">
        <v>8</v>
      </c>
      <c r="O193">
        <v>10</v>
      </c>
      <c r="P193">
        <v>46</v>
      </c>
      <c r="Q193" t="s">
        <v>24</v>
      </c>
      <c r="R193">
        <f>IF(subscriptions[[#This Row],[churned]]="Yes",1,0)</f>
        <v>0</v>
      </c>
      <c r="S193">
        <f ca="1">IF(subscriptions[[#This Row],[churn_flag]]=1, DATEDIF(subscriptions[[#This Row],[signup_date]],subscriptions[[#This Row],[churn_date]],"M"), DATEDIF(subscriptions[[#This Row],[signup_date]],TODAY(),"M"))</f>
        <v>49</v>
      </c>
      <c r="T193">
        <f ca="1">subscriptions[[#This Row],[monthly_revenue]]*subscriptions[[#This Row],[customer_lifetime]]</f>
        <v>116524.45000000001</v>
      </c>
      <c r="U193" t="str">
        <f>IF(subscriptions[[#This Row],[feature_usage_pct]]&lt;30,"High Risk",IF(subscriptions[[#This Row],[feature_usage_pct]]&lt;60,"Medium Risk","Low Risk"))</f>
        <v>Medium Risk</v>
      </c>
      <c r="V193">
        <f ca="1">subscriptions[[#This Row],[CLV]]/200</f>
        <v>582.62225000000001</v>
      </c>
    </row>
    <row r="194" spans="1:22" x14ac:dyDescent="0.25">
      <c r="A194" t="s">
        <v>247</v>
      </c>
      <c r="B194" t="s">
        <v>71</v>
      </c>
      <c r="C194" t="s">
        <v>19</v>
      </c>
      <c r="D194" t="s">
        <v>20</v>
      </c>
      <c r="E194" s="2" t="s">
        <v>663</v>
      </c>
      <c r="F194">
        <v>33</v>
      </c>
      <c r="G194">
        <v>2894.2</v>
      </c>
      <c r="H194" t="s">
        <v>98</v>
      </c>
      <c r="I194" t="s">
        <v>23</v>
      </c>
      <c r="J194" s="1">
        <v>45553</v>
      </c>
      <c r="K194" t="s">
        <v>26</v>
      </c>
      <c r="N194">
        <v>0</v>
      </c>
      <c r="O194">
        <v>1</v>
      </c>
      <c r="P194">
        <v>43</v>
      </c>
      <c r="Q194" t="s">
        <v>24</v>
      </c>
      <c r="R194">
        <f>IF(subscriptions[[#This Row],[churned]]="Yes",1,0)</f>
        <v>0</v>
      </c>
      <c r="S194">
        <f ca="1">IF(subscriptions[[#This Row],[churn_flag]]=1, DATEDIF(subscriptions[[#This Row],[signup_date]],subscriptions[[#This Row],[churn_date]],"M"), DATEDIF(subscriptions[[#This Row],[signup_date]],TODAY(),"M"))</f>
        <v>19</v>
      </c>
      <c r="T194">
        <f ca="1">subscriptions[[#This Row],[monthly_revenue]]*subscriptions[[#This Row],[customer_lifetime]]</f>
        <v>54989.799999999996</v>
      </c>
      <c r="U194" t="str">
        <f>IF(subscriptions[[#This Row],[feature_usage_pct]]&lt;30,"High Risk",IF(subscriptions[[#This Row],[feature_usage_pct]]&lt;60,"Medium Risk","Low Risk"))</f>
        <v>Medium Risk</v>
      </c>
      <c r="V194">
        <f ca="1">subscriptions[[#This Row],[CLV]]/200</f>
        <v>274.94899999999996</v>
      </c>
    </row>
    <row r="195" spans="1:22" x14ac:dyDescent="0.25">
      <c r="A195" t="s">
        <v>248</v>
      </c>
      <c r="B195" t="s">
        <v>31</v>
      </c>
      <c r="C195" t="s">
        <v>28</v>
      </c>
      <c r="D195" t="s">
        <v>32</v>
      </c>
      <c r="E195" s="2" t="s">
        <v>33</v>
      </c>
      <c r="F195">
        <v>225</v>
      </c>
      <c r="G195">
        <v>852.89</v>
      </c>
      <c r="H195" t="s">
        <v>43</v>
      </c>
      <c r="I195" t="s">
        <v>38</v>
      </c>
      <c r="J195" s="1">
        <v>44984</v>
      </c>
      <c r="K195" t="s">
        <v>26</v>
      </c>
      <c r="N195">
        <v>6</v>
      </c>
      <c r="O195">
        <v>9</v>
      </c>
      <c r="P195">
        <v>50</v>
      </c>
      <c r="Q195" t="s">
        <v>24</v>
      </c>
      <c r="R195">
        <f>IF(subscriptions[[#This Row],[churned]]="Yes",1,0)</f>
        <v>0</v>
      </c>
      <c r="S195">
        <f ca="1">IF(subscriptions[[#This Row],[churn_flag]]=1, DATEDIF(subscriptions[[#This Row],[signup_date]],subscriptions[[#This Row],[churn_date]],"M"), DATEDIF(subscriptions[[#This Row],[signup_date]],TODAY(),"M"))</f>
        <v>38</v>
      </c>
      <c r="T195">
        <f ca="1">subscriptions[[#This Row],[monthly_revenue]]*subscriptions[[#This Row],[customer_lifetime]]</f>
        <v>32409.82</v>
      </c>
      <c r="U195" t="str">
        <f>IF(subscriptions[[#This Row],[feature_usage_pct]]&lt;30,"High Risk",IF(subscriptions[[#This Row],[feature_usage_pct]]&lt;60,"Medium Risk","Low Risk"))</f>
        <v>Medium Risk</v>
      </c>
      <c r="V195">
        <f ca="1">subscriptions[[#This Row],[CLV]]/200</f>
        <v>162.04910000000001</v>
      </c>
    </row>
    <row r="196" spans="1:22" x14ac:dyDescent="0.25">
      <c r="A196" t="s">
        <v>249</v>
      </c>
      <c r="B196" t="s">
        <v>31</v>
      </c>
      <c r="C196" t="s">
        <v>28</v>
      </c>
      <c r="D196" t="s">
        <v>62</v>
      </c>
      <c r="E196" s="2" t="s">
        <v>664</v>
      </c>
      <c r="F196">
        <v>3</v>
      </c>
      <c r="G196">
        <v>32.049999999999997</v>
      </c>
      <c r="H196" t="s">
        <v>60</v>
      </c>
      <c r="I196" t="s">
        <v>23</v>
      </c>
      <c r="J196" s="1">
        <v>45220</v>
      </c>
      <c r="K196" t="s">
        <v>24</v>
      </c>
      <c r="L196" s="1">
        <v>45492</v>
      </c>
      <c r="M196" t="s">
        <v>53</v>
      </c>
      <c r="N196">
        <v>4</v>
      </c>
      <c r="O196">
        <v>5</v>
      </c>
      <c r="P196">
        <v>33</v>
      </c>
      <c r="Q196" t="s">
        <v>26</v>
      </c>
      <c r="R196">
        <f>IF(subscriptions[[#This Row],[churned]]="Yes",1,0)</f>
        <v>1</v>
      </c>
      <c r="S196">
        <f ca="1">IF(subscriptions[[#This Row],[churn_flag]]=1, DATEDIF(subscriptions[[#This Row],[signup_date]],subscriptions[[#This Row],[churn_date]],"M"), DATEDIF(subscriptions[[#This Row],[signup_date]],TODAY(),"M"))</f>
        <v>8</v>
      </c>
      <c r="T196">
        <f ca="1">subscriptions[[#This Row],[monthly_revenue]]*subscriptions[[#This Row],[customer_lifetime]]</f>
        <v>256.39999999999998</v>
      </c>
      <c r="U196" t="str">
        <f>IF(subscriptions[[#This Row],[feature_usage_pct]]&lt;30,"High Risk",IF(subscriptions[[#This Row],[feature_usage_pct]]&lt;60,"Medium Risk","Low Risk"))</f>
        <v>Medium Risk</v>
      </c>
      <c r="V196">
        <f ca="1">subscriptions[[#This Row],[CLV]]/200</f>
        <v>1.2819999999999998</v>
      </c>
    </row>
    <row r="197" spans="1:22" x14ac:dyDescent="0.25">
      <c r="A197" t="s">
        <v>250</v>
      </c>
      <c r="B197" t="s">
        <v>18</v>
      </c>
      <c r="C197" t="s">
        <v>28</v>
      </c>
      <c r="D197" t="s">
        <v>49</v>
      </c>
      <c r="E197" s="2" t="s">
        <v>663</v>
      </c>
      <c r="F197">
        <v>20</v>
      </c>
      <c r="G197">
        <v>258.52999999999997</v>
      </c>
      <c r="H197" t="s">
        <v>60</v>
      </c>
      <c r="I197" t="s">
        <v>38</v>
      </c>
      <c r="J197" s="1">
        <v>45722</v>
      </c>
      <c r="K197" t="s">
        <v>26</v>
      </c>
      <c r="N197">
        <v>6</v>
      </c>
      <c r="O197">
        <v>7</v>
      </c>
      <c r="P197">
        <v>95</v>
      </c>
      <c r="Q197" t="s">
        <v>26</v>
      </c>
      <c r="R197">
        <f>IF(subscriptions[[#This Row],[churned]]="Yes",1,0)</f>
        <v>0</v>
      </c>
      <c r="S197">
        <f ca="1">IF(subscriptions[[#This Row],[churn_flag]]=1, DATEDIF(subscriptions[[#This Row],[signup_date]],subscriptions[[#This Row],[churn_date]],"M"), DATEDIF(subscriptions[[#This Row],[signup_date]],TODAY(),"M"))</f>
        <v>14</v>
      </c>
      <c r="T197">
        <f ca="1">subscriptions[[#This Row],[monthly_revenue]]*subscriptions[[#This Row],[customer_lifetime]]</f>
        <v>3619.4199999999996</v>
      </c>
      <c r="U197" t="str">
        <f>IF(subscriptions[[#This Row],[feature_usage_pct]]&lt;30,"High Risk",IF(subscriptions[[#This Row],[feature_usage_pct]]&lt;60,"Medium Risk","Low Risk"))</f>
        <v>Low Risk</v>
      </c>
      <c r="V197">
        <f ca="1">subscriptions[[#This Row],[CLV]]/200</f>
        <v>18.097099999999998</v>
      </c>
    </row>
    <row r="198" spans="1:22" x14ac:dyDescent="0.25">
      <c r="A198" t="s">
        <v>251</v>
      </c>
      <c r="B198" t="s">
        <v>71</v>
      </c>
      <c r="C198" t="s">
        <v>19</v>
      </c>
      <c r="D198" t="s">
        <v>79</v>
      </c>
      <c r="E198" s="2" t="s">
        <v>664</v>
      </c>
      <c r="F198">
        <v>1</v>
      </c>
      <c r="G198">
        <v>499</v>
      </c>
      <c r="H198" t="s">
        <v>22</v>
      </c>
      <c r="I198" t="s">
        <v>55</v>
      </c>
      <c r="J198" s="1">
        <v>44645</v>
      </c>
      <c r="K198" t="s">
        <v>26</v>
      </c>
      <c r="N198">
        <v>8</v>
      </c>
      <c r="O198">
        <v>7</v>
      </c>
      <c r="P198">
        <v>32</v>
      </c>
      <c r="Q198" t="s">
        <v>26</v>
      </c>
      <c r="R198">
        <f>IF(subscriptions[[#This Row],[churned]]="Yes",1,0)</f>
        <v>0</v>
      </c>
      <c r="S198">
        <f ca="1">IF(subscriptions[[#This Row],[churn_flag]]=1, DATEDIF(subscriptions[[#This Row],[signup_date]],subscriptions[[#This Row],[churn_date]],"M"), DATEDIF(subscriptions[[#This Row],[signup_date]],TODAY(),"M"))</f>
        <v>49</v>
      </c>
      <c r="T198">
        <f ca="1">subscriptions[[#This Row],[monthly_revenue]]*subscriptions[[#This Row],[customer_lifetime]]</f>
        <v>24451</v>
      </c>
      <c r="U198" t="str">
        <f>IF(subscriptions[[#This Row],[feature_usage_pct]]&lt;30,"High Risk",IF(subscriptions[[#This Row],[feature_usage_pct]]&lt;60,"Medium Risk","Low Risk"))</f>
        <v>Medium Risk</v>
      </c>
      <c r="V198">
        <f ca="1">subscriptions[[#This Row],[CLV]]/200</f>
        <v>122.255</v>
      </c>
    </row>
    <row r="199" spans="1:22" x14ac:dyDescent="0.25">
      <c r="A199" t="s">
        <v>252</v>
      </c>
      <c r="B199" t="s">
        <v>31</v>
      </c>
      <c r="C199" t="s">
        <v>19</v>
      </c>
      <c r="D199" t="s">
        <v>52</v>
      </c>
      <c r="E199" s="2" t="s">
        <v>21</v>
      </c>
      <c r="F199">
        <v>21</v>
      </c>
      <c r="G199">
        <v>116</v>
      </c>
      <c r="H199" t="s">
        <v>43</v>
      </c>
      <c r="I199" t="s">
        <v>38</v>
      </c>
      <c r="J199" s="1">
        <v>45035</v>
      </c>
      <c r="K199" t="s">
        <v>24</v>
      </c>
      <c r="L199" s="1">
        <v>45672</v>
      </c>
      <c r="M199" t="s">
        <v>82</v>
      </c>
      <c r="N199">
        <v>0</v>
      </c>
      <c r="O199">
        <v>1</v>
      </c>
      <c r="P199">
        <v>15</v>
      </c>
      <c r="Q199" t="s">
        <v>26</v>
      </c>
      <c r="R199">
        <f>IF(subscriptions[[#This Row],[churned]]="Yes",1,0)</f>
        <v>1</v>
      </c>
      <c r="S199">
        <f ca="1">IF(subscriptions[[#This Row],[churn_flag]]=1, DATEDIF(subscriptions[[#This Row],[signup_date]],subscriptions[[#This Row],[churn_date]],"M"), DATEDIF(subscriptions[[#This Row],[signup_date]],TODAY(),"M"))</f>
        <v>20</v>
      </c>
      <c r="T199">
        <f ca="1">subscriptions[[#This Row],[monthly_revenue]]*subscriptions[[#This Row],[customer_lifetime]]</f>
        <v>2320</v>
      </c>
      <c r="U199" t="str">
        <f>IF(subscriptions[[#This Row],[feature_usage_pct]]&lt;30,"High Risk",IF(subscriptions[[#This Row],[feature_usage_pct]]&lt;60,"Medium Risk","Low Risk"))</f>
        <v>High Risk</v>
      </c>
      <c r="V199">
        <f ca="1">subscriptions[[#This Row],[CLV]]/200</f>
        <v>11.6</v>
      </c>
    </row>
    <row r="200" spans="1:22" x14ac:dyDescent="0.25">
      <c r="A200" t="s">
        <v>253</v>
      </c>
      <c r="B200" t="s">
        <v>18</v>
      </c>
      <c r="C200" t="s">
        <v>28</v>
      </c>
      <c r="D200" t="s">
        <v>68</v>
      </c>
      <c r="E200" s="2" t="s">
        <v>664</v>
      </c>
      <c r="F200">
        <v>4</v>
      </c>
      <c r="G200">
        <v>97.37</v>
      </c>
      <c r="H200" t="s">
        <v>60</v>
      </c>
      <c r="I200" t="s">
        <v>23</v>
      </c>
      <c r="J200" s="1">
        <v>45719</v>
      </c>
      <c r="K200" t="s">
        <v>26</v>
      </c>
      <c r="N200">
        <v>2</v>
      </c>
      <c r="O200">
        <v>4</v>
      </c>
      <c r="P200">
        <v>36</v>
      </c>
      <c r="Q200" t="s">
        <v>26</v>
      </c>
      <c r="R200">
        <f>IF(subscriptions[[#This Row],[churned]]="Yes",1,0)</f>
        <v>0</v>
      </c>
      <c r="S200">
        <f ca="1">IF(subscriptions[[#This Row],[churn_flag]]=1, DATEDIF(subscriptions[[#This Row],[signup_date]],subscriptions[[#This Row],[churn_date]],"M"), DATEDIF(subscriptions[[#This Row],[signup_date]],TODAY(),"M"))</f>
        <v>14</v>
      </c>
      <c r="T200">
        <f ca="1">subscriptions[[#This Row],[monthly_revenue]]*subscriptions[[#This Row],[customer_lifetime]]</f>
        <v>1363.18</v>
      </c>
      <c r="U200" t="str">
        <f>IF(subscriptions[[#This Row],[feature_usage_pct]]&lt;30,"High Risk",IF(subscriptions[[#This Row],[feature_usage_pct]]&lt;60,"Medium Risk","Low Risk"))</f>
        <v>Medium Risk</v>
      </c>
      <c r="V200">
        <f ca="1">subscriptions[[#This Row],[CLV]]/200</f>
        <v>6.8159000000000001</v>
      </c>
    </row>
    <row r="201" spans="1:22" x14ac:dyDescent="0.25">
      <c r="A201" t="s">
        <v>254</v>
      </c>
      <c r="B201" t="s">
        <v>18</v>
      </c>
      <c r="C201" t="s">
        <v>28</v>
      </c>
      <c r="D201" t="s">
        <v>62</v>
      </c>
      <c r="E201" s="2" t="s">
        <v>45</v>
      </c>
      <c r="F201">
        <v>35</v>
      </c>
      <c r="G201">
        <v>409.62</v>
      </c>
      <c r="H201" t="s">
        <v>22</v>
      </c>
      <c r="I201" t="s">
        <v>23</v>
      </c>
      <c r="J201" s="1">
        <v>44858</v>
      </c>
      <c r="K201" t="s">
        <v>24</v>
      </c>
      <c r="L201" s="1">
        <v>45598</v>
      </c>
      <c r="M201" t="s">
        <v>82</v>
      </c>
      <c r="N201">
        <v>15</v>
      </c>
      <c r="O201">
        <v>1</v>
      </c>
      <c r="P201">
        <v>21</v>
      </c>
      <c r="Q201" t="s">
        <v>26</v>
      </c>
      <c r="R201">
        <f>IF(subscriptions[[#This Row],[churned]]="Yes",1,0)</f>
        <v>1</v>
      </c>
      <c r="S201">
        <f ca="1">IF(subscriptions[[#This Row],[churn_flag]]=1, DATEDIF(subscriptions[[#This Row],[signup_date]],subscriptions[[#This Row],[churn_date]],"M"), DATEDIF(subscriptions[[#This Row],[signup_date]],TODAY(),"M"))</f>
        <v>24</v>
      </c>
      <c r="T201">
        <f ca="1">subscriptions[[#This Row],[monthly_revenue]]*subscriptions[[#This Row],[customer_lifetime]]</f>
        <v>9830.880000000001</v>
      </c>
      <c r="U201" t="str">
        <f>IF(subscriptions[[#This Row],[feature_usage_pct]]&lt;30,"High Risk",IF(subscriptions[[#This Row],[feature_usage_pct]]&lt;60,"Medium Risk","Low Risk"))</f>
        <v>High Risk</v>
      </c>
      <c r="V201">
        <f ca="1">subscriptions[[#This Row],[CLV]]/200</f>
        <v>49.154400000000003</v>
      </c>
    </row>
    <row r="202" spans="1:22" x14ac:dyDescent="0.25">
      <c r="A202" t="s">
        <v>255</v>
      </c>
      <c r="B202" t="s">
        <v>31</v>
      </c>
      <c r="C202" t="s">
        <v>19</v>
      </c>
      <c r="D202" t="s">
        <v>49</v>
      </c>
      <c r="E202" s="2" t="s">
        <v>663</v>
      </c>
      <c r="F202">
        <v>13</v>
      </c>
      <c r="G202">
        <v>81.2</v>
      </c>
      <c r="H202" t="s">
        <v>34</v>
      </c>
      <c r="I202" t="s">
        <v>38</v>
      </c>
      <c r="J202" s="1">
        <v>45105</v>
      </c>
      <c r="K202" t="s">
        <v>24</v>
      </c>
      <c r="L202" s="1">
        <v>45578</v>
      </c>
      <c r="M202" t="s">
        <v>53</v>
      </c>
      <c r="N202">
        <v>15</v>
      </c>
      <c r="O202">
        <v>1</v>
      </c>
      <c r="P202">
        <v>44</v>
      </c>
      <c r="Q202" t="s">
        <v>26</v>
      </c>
      <c r="R202">
        <f>IF(subscriptions[[#This Row],[churned]]="Yes",1,0)</f>
        <v>1</v>
      </c>
      <c r="S202">
        <f ca="1">IF(subscriptions[[#This Row],[churn_flag]]=1, DATEDIF(subscriptions[[#This Row],[signup_date]],subscriptions[[#This Row],[churn_date]],"M"), DATEDIF(subscriptions[[#This Row],[signup_date]],TODAY(),"M"))</f>
        <v>15</v>
      </c>
      <c r="T202">
        <f ca="1">subscriptions[[#This Row],[monthly_revenue]]*subscriptions[[#This Row],[customer_lifetime]]</f>
        <v>1218</v>
      </c>
      <c r="U202" t="str">
        <f>IF(subscriptions[[#This Row],[feature_usage_pct]]&lt;30,"High Risk",IF(subscriptions[[#This Row],[feature_usage_pct]]&lt;60,"Medium Risk","Low Risk"))</f>
        <v>Medium Risk</v>
      </c>
      <c r="V202">
        <f ca="1">subscriptions[[#This Row],[CLV]]/200</f>
        <v>6.09</v>
      </c>
    </row>
    <row r="203" spans="1:22" x14ac:dyDescent="0.25">
      <c r="A203" t="s">
        <v>256</v>
      </c>
      <c r="B203" t="s">
        <v>31</v>
      </c>
      <c r="C203" t="s">
        <v>19</v>
      </c>
      <c r="D203" t="s">
        <v>68</v>
      </c>
      <c r="E203" s="2" t="s">
        <v>663</v>
      </c>
      <c r="F203">
        <v>30</v>
      </c>
      <c r="G203">
        <v>155.15</v>
      </c>
      <c r="H203" t="s">
        <v>34</v>
      </c>
      <c r="I203" t="s">
        <v>69</v>
      </c>
      <c r="J203" s="1">
        <v>45205</v>
      </c>
      <c r="K203" t="s">
        <v>24</v>
      </c>
      <c r="L203" s="1">
        <v>45234</v>
      </c>
      <c r="M203" t="s">
        <v>25</v>
      </c>
      <c r="N203">
        <v>3</v>
      </c>
      <c r="O203">
        <v>1</v>
      </c>
      <c r="P203">
        <v>25</v>
      </c>
      <c r="Q203" t="s">
        <v>26</v>
      </c>
      <c r="R203">
        <f>IF(subscriptions[[#This Row],[churned]]="Yes",1,0)</f>
        <v>1</v>
      </c>
      <c r="S203">
        <f ca="1">IF(subscriptions[[#This Row],[churn_flag]]=1, DATEDIF(subscriptions[[#This Row],[signup_date]],subscriptions[[#This Row],[churn_date]],"M"), DATEDIF(subscriptions[[#This Row],[signup_date]],TODAY(),"M"))</f>
        <v>0</v>
      </c>
      <c r="T203">
        <f ca="1">subscriptions[[#This Row],[monthly_revenue]]*subscriptions[[#This Row],[customer_lifetime]]</f>
        <v>0</v>
      </c>
      <c r="U203" t="str">
        <f>IF(subscriptions[[#This Row],[feature_usage_pct]]&lt;30,"High Risk",IF(subscriptions[[#This Row],[feature_usage_pct]]&lt;60,"Medium Risk","Low Risk"))</f>
        <v>High Risk</v>
      </c>
      <c r="V203">
        <f ca="1">subscriptions[[#This Row],[CLV]]/200</f>
        <v>0</v>
      </c>
    </row>
    <row r="204" spans="1:22" x14ac:dyDescent="0.25">
      <c r="A204" t="s">
        <v>257</v>
      </c>
      <c r="B204" t="s">
        <v>36</v>
      </c>
      <c r="C204" t="s">
        <v>19</v>
      </c>
      <c r="D204" t="s">
        <v>79</v>
      </c>
      <c r="E204" s="2" t="s">
        <v>664</v>
      </c>
      <c r="F204">
        <v>8</v>
      </c>
      <c r="G204">
        <v>407.95</v>
      </c>
      <c r="H204" t="s">
        <v>29</v>
      </c>
      <c r="I204" t="s">
        <v>69</v>
      </c>
      <c r="J204" s="1">
        <v>45137</v>
      </c>
      <c r="K204" t="s">
        <v>24</v>
      </c>
      <c r="L204" s="1">
        <v>45753</v>
      </c>
      <c r="M204" t="s">
        <v>53</v>
      </c>
      <c r="N204">
        <v>1</v>
      </c>
      <c r="O204">
        <v>5</v>
      </c>
      <c r="P204">
        <v>12</v>
      </c>
      <c r="Q204" t="s">
        <v>26</v>
      </c>
      <c r="R204">
        <f>IF(subscriptions[[#This Row],[churned]]="Yes",1,0)</f>
        <v>1</v>
      </c>
      <c r="S204">
        <f ca="1">IF(subscriptions[[#This Row],[churn_flag]]=1, DATEDIF(subscriptions[[#This Row],[signup_date]],subscriptions[[#This Row],[churn_date]],"M"), DATEDIF(subscriptions[[#This Row],[signup_date]],TODAY(),"M"))</f>
        <v>20</v>
      </c>
      <c r="T204">
        <f ca="1">subscriptions[[#This Row],[monthly_revenue]]*subscriptions[[#This Row],[customer_lifetime]]</f>
        <v>8159</v>
      </c>
      <c r="U204" t="str">
        <f>IF(subscriptions[[#This Row],[feature_usage_pct]]&lt;30,"High Risk",IF(subscriptions[[#This Row],[feature_usage_pct]]&lt;60,"Medium Risk","Low Risk"))</f>
        <v>High Risk</v>
      </c>
      <c r="V204">
        <f ca="1">subscriptions[[#This Row],[CLV]]/200</f>
        <v>40.795000000000002</v>
      </c>
    </row>
    <row r="205" spans="1:22" x14ac:dyDescent="0.25">
      <c r="A205" t="s">
        <v>258</v>
      </c>
      <c r="B205" t="s">
        <v>31</v>
      </c>
      <c r="C205" t="s">
        <v>19</v>
      </c>
      <c r="D205" t="s">
        <v>62</v>
      </c>
      <c r="E205" s="2" t="s">
        <v>21</v>
      </c>
      <c r="F205">
        <v>64</v>
      </c>
      <c r="G205">
        <v>303.05</v>
      </c>
      <c r="H205" t="s">
        <v>34</v>
      </c>
      <c r="I205" t="s">
        <v>23</v>
      </c>
      <c r="J205" s="1">
        <v>45431</v>
      </c>
      <c r="K205" t="s">
        <v>24</v>
      </c>
      <c r="L205" s="1">
        <v>45493</v>
      </c>
      <c r="M205" t="s">
        <v>46</v>
      </c>
      <c r="N205">
        <v>11</v>
      </c>
      <c r="O205">
        <v>1</v>
      </c>
      <c r="P205">
        <v>49</v>
      </c>
      <c r="Q205" t="s">
        <v>26</v>
      </c>
      <c r="R205">
        <f>IF(subscriptions[[#This Row],[churned]]="Yes",1,0)</f>
        <v>1</v>
      </c>
      <c r="S205">
        <f ca="1">IF(subscriptions[[#This Row],[churn_flag]]=1, DATEDIF(subscriptions[[#This Row],[signup_date]],subscriptions[[#This Row],[churn_date]],"M"), DATEDIF(subscriptions[[#This Row],[signup_date]],TODAY(),"M"))</f>
        <v>2</v>
      </c>
      <c r="T205">
        <f ca="1">subscriptions[[#This Row],[monthly_revenue]]*subscriptions[[#This Row],[customer_lifetime]]</f>
        <v>606.1</v>
      </c>
      <c r="U205" t="str">
        <f>IF(subscriptions[[#This Row],[feature_usage_pct]]&lt;30,"High Risk",IF(subscriptions[[#This Row],[feature_usage_pct]]&lt;60,"Medium Risk","Low Risk"))</f>
        <v>Medium Risk</v>
      </c>
      <c r="V205">
        <f ca="1">subscriptions[[#This Row],[CLV]]/200</f>
        <v>3.0305</v>
      </c>
    </row>
    <row r="206" spans="1:22" x14ac:dyDescent="0.25">
      <c r="A206" t="s">
        <v>259</v>
      </c>
      <c r="B206" t="s">
        <v>36</v>
      </c>
      <c r="C206" t="s">
        <v>28</v>
      </c>
      <c r="D206" t="s">
        <v>52</v>
      </c>
      <c r="E206" s="2" t="s">
        <v>21</v>
      </c>
      <c r="F206">
        <v>67</v>
      </c>
      <c r="G206">
        <v>1843.73</v>
      </c>
      <c r="H206" t="s">
        <v>22</v>
      </c>
      <c r="I206" t="s">
        <v>38</v>
      </c>
      <c r="J206" s="1">
        <v>45277</v>
      </c>
      <c r="K206" t="s">
        <v>26</v>
      </c>
      <c r="N206">
        <v>12</v>
      </c>
      <c r="O206">
        <v>1</v>
      </c>
      <c r="P206">
        <v>85</v>
      </c>
      <c r="Q206" t="s">
        <v>24</v>
      </c>
      <c r="R206">
        <f>IF(subscriptions[[#This Row],[churned]]="Yes",1,0)</f>
        <v>0</v>
      </c>
      <c r="S206">
        <f ca="1">IF(subscriptions[[#This Row],[churn_flag]]=1, DATEDIF(subscriptions[[#This Row],[signup_date]],subscriptions[[#This Row],[churn_date]],"M"), DATEDIF(subscriptions[[#This Row],[signup_date]],TODAY(),"M"))</f>
        <v>28</v>
      </c>
      <c r="T206">
        <f ca="1">subscriptions[[#This Row],[monthly_revenue]]*subscriptions[[#This Row],[customer_lifetime]]</f>
        <v>51624.44</v>
      </c>
      <c r="U206" t="str">
        <f>IF(subscriptions[[#This Row],[feature_usage_pct]]&lt;30,"High Risk",IF(subscriptions[[#This Row],[feature_usage_pct]]&lt;60,"Medium Risk","Low Risk"))</f>
        <v>Low Risk</v>
      </c>
      <c r="V206">
        <f ca="1">subscriptions[[#This Row],[CLV]]/200</f>
        <v>258.12220000000002</v>
      </c>
    </row>
    <row r="207" spans="1:22" x14ac:dyDescent="0.25">
      <c r="A207" t="s">
        <v>260</v>
      </c>
      <c r="B207" t="s">
        <v>31</v>
      </c>
      <c r="C207" t="s">
        <v>19</v>
      </c>
      <c r="D207" t="s">
        <v>52</v>
      </c>
      <c r="E207" s="2" t="s">
        <v>45</v>
      </c>
      <c r="F207">
        <v>72</v>
      </c>
      <c r="G207">
        <v>337.85</v>
      </c>
      <c r="H207" t="s">
        <v>22</v>
      </c>
      <c r="I207" t="s">
        <v>38</v>
      </c>
      <c r="J207" s="1">
        <v>45374</v>
      </c>
      <c r="K207" t="s">
        <v>24</v>
      </c>
      <c r="L207" s="1">
        <v>45475</v>
      </c>
      <c r="M207" t="s">
        <v>50</v>
      </c>
      <c r="N207">
        <v>5</v>
      </c>
      <c r="O207">
        <v>6</v>
      </c>
      <c r="P207">
        <v>33</v>
      </c>
      <c r="Q207" t="s">
        <v>26</v>
      </c>
      <c r="R207">
        <f>IF(subscriptions[[#This Row],[churned]]="Yes",1,0)</f>
        <v>1</v>
      </c>
      <c r="S207">
        <f ca="1">IF(subscriptions[[#This Row],[churn_flag]]=1, DATEDIF(subscriptions[[#This Row],[signup_date]],subscriptions[[#This Row],[churn_date]],"M"), DATEDIF(subscriptions[[#This Row],[signup_date]],TODAY(),"M"))</f>
        <v>3</v>
      </c>
      <c r="T207">
        <f ca="1">subscriptions[[#This Row],[monthly_revenue]]*subscriptions[[#This Row],[customer_lifetime]]</f>
        <v>1013.5500000000001</v>
      </c>
      <c r="U207" t="str">
        <f>IF(subscriptions[[#This Row],[feature_usage_pct]]&lt;30,"High Risk",IF(subscriptions[[#This Row],[feature_usage_pct]]&lt;60,"Medium Risk","Low Risk"))</f>
        <v>Medium Risk</v>
      </c>
      <c r="V207">
        <f ca="1">subscriptions[[#This Row],[CLV]]/200</f>
        <v>5.0677500000000002</v>
      </c>
    </row>
    <row r="208" spans="1:22" x14ac:dyDescent="0.25">
      <c r="A208" t="s">
        <v>261</v>
      </c>
      <c r="B208" t="s">
        <v>36</v>
      </c>
      <c r="C208" t="s">
        <v>19</v>
      </c>
      <c r="D208" t="s">
        <v>37</v>
      </c>
      <c r="E208" s="2" t="s">
        <v>664</v>
      </c>
      <c r="F208">
        <v>1</v>
      </c>
      <c r="G208">
        <v>199</v>
      </c>
      <c r="H208" t="s">
        <v>34</v>
      </c>
      <c r="I208" t="s">
        <v>23</v>
      </c>
      <c r="J208" s="1">
        <v>45018</v>
      </c>
      <c r="K208" t="s">
        <v>24</v>
      </c>
      <c r="L208" s="1">
        <v>45275</v>
      </c>
      <c r="M208" t="s">
        <v>63</v>
      </c>
      <c r="N208">
        <v>12</v>
      </c>
      <c r="O208">
        <v>2</v>
      </c>
      <c r="P208">
        <v>16</v>
      </c>
      <c r="Q208" t="s">
        <v>26</v>
      </c>
      <c r="R208">
        <f>IF(subscriptions[[#This Row],[churned]]="Yes",1,0)</f>
        <v>1</v>
      </c>
      <c r="S208">
        <f ca="1">IF(subscriptions[[#This Row],[churn_flag]]=1, DATEDIF(subscriptions[[#This Row],[signup_date]],subscriptions[[#This Row],[churn_date]],"M"), DATEDIF(subscriptions[[#This Row],[signup_date]],TODAY(),"M"))</f>
        <v>8</v>
      </c>
      <c r="T208">
        <f ca="1">subscriptions[[#This Row],[monthly_revenue]]*subscriptions[[#This Row],[customer_lifetime]]</f>
        <v>1592</v>
      </c>
      <c r="U208" t="str">
        <f>IF(subscriptions[[#This Row],[feature_usage_pct]]&lt;30,"High Risk",IF(subscriptions[[#This Row],[feature_usage_pct]]&lt;60,"Medium Risk","Low Risk"))</f>
        <v>High Risk</v>
      </c>
      <c r="V208">
        <f ca="1">subscriptions[[#This Row],[CLV]]/200</f>
        <v>7.96</v>
      </c>
    </row>
    <row r="209" spans="1:22" x14ac:dyDescent="0.25">
      <c r="A209" t="s">
        <v>262</v>
      </c>
      <c r="B209" t="s">
        <v>31</v>
      </c>
      <c r="C209" t="s">
        <v>19</v>
      </c>
      <c r="D209" t="s">
        <v>79</v>
      </c>
      <c r="E209" s="2" t="s">
        <v>663</v>
      </c>
      <c r="F209">
        <v>5</v>
      </c>
      <c r="G209">
        <v>46.4</v>
      </c>
      <c r="H209" t="s">
        <v>43</v>
      </c>
      <c r="I209" t="s">
        <v>23</v>
      </c>
      <c r="J209" s="1">
        <v>45676</v>
      </c>
      <c r="K209" t="s">
        <v>24</v>
      </c>
      <c r="L209" s="1">
        <v>45841</v>
      </c>
      <c r="M209" t="s">
        <v>82</v>
      </c>
      <c r="N209">
        <v>8</v>
      </c>
      <c r="O209">
        <v>4</v>
      </c>
      <c r="P209">
        <v>21</v>
      </c>
      <c r="Q209" t="s">
        <v>26</v>
      </c>
      <c r="R209">
        <f>IF(subscriptions[[#This Row],[churned]]="Yes",1,0)</f>
        <v>1</v>
      </c>
      <c r="S209">
        <f ca="1">IF(subscriptions[[#This Row],[churn_flag]]=1, DATEDIF(subscriptions[[#This Row],[signup_date]],subscriptions[[#This Row],[churn_date]],"M"), DATEDIF(subscriptions[[#This Row],[signup_date]],TODAY(),"M"))</f>
        <v>5</v>
      </c>
      <c r="T209">
        <f ca="1">subscriptions[[#This Row],[monthly_revenue]]*subscriptions[[#This Row],[customer_lifetime]]</f>
        <v>232</v>
      </c>
      <c r="U209" t="str">
        <f>IF(subscriptions[[#This Row],[feature_usage_pct]]&lt;30,"High Risk",IF(subscriptions[[#This Row],[feature_usage_pct]]&lt;60,"Medium Risk","Low Risk"))</f>
        <v>High Risk</v>
      </c>
      <c r="V209">
        <f ca="1">subscriptions[[#This Row],[CLV]]/200</f>
        <v>1.1599999999999999</v>
      </c>
    </row>
    <row r="210" spans="1:22" x14ac:dyDescent="0.25">
      <c r="A210" t="s">
        <v>263</v>
      </c>
      <c r="B210" t="s">
        <v>31</v>
      </c>
      <c r="C210" t="s">
        <v>28</v>
      </c>
      <c r="D210" t="s">
        <v>52</v>
      </c>
      <c r="E210" s="2" t="s">
        <v>21</v>
      </c>
      <c r="F210">
        <v>46</v>
      </c>
      <c r="G210">
        <v>191.04</v>
      </c>
      <c r="H210" t="s">
        <v>98</v>
      </c>
      <c r="I210" t="s">
        <v>38</v>
      </c>
      <c r="J210" s="1">
        <v>44686</v>
      </c>
      <c r="K210" t="s">
        <v>24</v>
      </c>
      <c r="L210" s="1">
        <v>44772</v>
      </c>
      <c r="M210" t="s">
        <v>56</v>
      </c>
      <c r="N210">
        <v>2</v>
      </c>
      <c r="O210">
        <v>1</v>
      </c>
      <c r="P210">
        <v>13</v>
      </c>
      <c r="Q210" t="s">
        <v>26</v>
      </c>
      <c r="R210">
        <f>IF(subscriptions[[#This Row],[churned]]="Yes",1,0)</f>
        <v>1</v>
      </c>
      <c r="S210">
        <f ca="1">IF(subscriptions[[#This Row],[churn_flag]]=1, DATEDIF(subscriptions[[#This Row],[signup_date]],subscriptions[[#This Row],[churn_date]],"M"), DATEDIF(subscriptions[[#This Row],[signup_date]],TODAY(),"M"))</f>
        <v>2</v>
      </c>
      <c r="T210">
        <f ca="1">subscriptions[[#This Row],[monthly_revenue]]*subscriptions[[#This Row],[customer_lifetime]]</f>
        <v>382.08</v>
      </c>
      <c r="U210" t="str">
        <f>IF(subscriptions[[#This Row],[feature_usage_pct]]&lt;30,"High Risk",IF(subscriptions[[#This Row],[feature_usage_pct]]&lt;60,"Medium Risk","Low Risk"))</f>
        <v>High Risk</v>
      </c>
      <c r="V210">
        <f ca="1">subscriptions[[#This Row],[CLV]]/200</f>
        <v>1.9103999999999999</v>
      </c>
    </row>
    <row r="211" spans="1:22" x14ac:dyDescent="0.25">
      <c r="A211" t="s">
        <v>264</v>
      </c>
      <c r="B211" t="s">
        <v>71</v>
      </c>
      <c r="C211" t="s">
        <v>19</v>
      </c>
      <c r="D211" t="s">
        <v>52</v>
      </c>
      <c r="E211" s="2" t="s">
        <v>21</v>
      </c>
      <c r="F211">
        <v>72</v>
      </c>
      <c r="G211">
        <v>5813.35</v>
      </c>
      <c r="H211" t="s">
        <v>98</v>
      </c>
      <c r="I211" t="s">
        <v>23</v>
      </c>
      <c r="J211" s="1">
        <v>44826</v>
      </c>
      <c r="K211" t="s">
        <v>24</v>
      </c>
      <c r="L211" s="1">
        <v>45803</v>
      </c>
      <c r="M211" t="s">
        <v>25</v>
      </c>
      <c r="N211">
        <v>13</v>
      </c>
      <c r="O211">
        <v>1</v>
      </c>
      <c r="P211">
        <v>17</v>
      </c>
      <c r="Q211" t="s">
        <v>26</v>
      </c>
      <c r="R211">
        <f>IF(subscriptions[[#This Row],[churned]]="Yes",1,0)</f>
        <v>1</v>
      </c>
      <c r="S211">
        <f ca="1">IF(subscriptions[[#This Row],[churn_flag]]=1, DATEDIF(subscriptions[[#This Row],[signup_date]],subscriptions[[#This Row],[churn_date]],"M"), DATEDIF(subscriptions[[#This Row],[signup_date]],TODAY(),"M"))</f>
        <v>32</v>
      </c>
      <c r="T211">
        <f ca="1">subscriptions[[#This Row],[monthly_revenue]]*subscriptions[[#This Row],[customer_lifetime]]</f>
        <v>186027.2</v>
      </c>
      <c r="U211" t="str">
        <f>IF(subscriptions[[#This Row],[feature_usage_pct]]&lt;30,"High Risk",IF(subscriptions[[#This Row],[feature_usage_pct]]&lt;60,"Medium Risk","Low Risk"))</f>
        <v>High Risk</v>
      </c>
      <c r="V211">
        <f ca="1">subscriptions[[#This Row],[CLV]]/200</f>
        <v>930.13600000000008</v>
      </c>
    </row>
    <row r="212" spans="1:22" x14ac:dyDescent="0.25">
      <c r="A212" t="s">
        <v>265</v>
      </c>
      <c r="B212" t="s">
        <v>71</v>
      </c>
      <c r="C212" t="s">
        <v>28</v>
      </c>
      <c r="D212" t="s">
        <v>62</v>
      </c>
      <c r="E212" s="2" t="s">
        <v>45</v>
      </c>
      <c r="F212">
        <v>48</v>
      </c>
      <c r="G212">
        <v>3414.41</v>
      </c>
      <c r="H212" t="s">
        <v>60</v>
      </c>
      <c r="I212" t="s">
        <v>23</v>
      </c>
      <c r="J212" s="1">
        <v>45838</v>
      </c>
      <c r="K212" t="s">
        <v>26</v>
      </c>
      <c r="N212">
        <v>12</v>
      </c>
      <c r="O212">
        <v>2</v>
      </c>
      <c r="P212">
        <v>23</v>
      </c>
      <c r="Q212" t="s">
        <v>26</v>
      </c>
      <c r="R212">
        <f>IF(subscriptions[[#This Row],[churned]]="Yes",1,0)</f>
        <v>0</v>
      </c>
      <c r="S212">
        <f ca="1">IF(subscriptions[[#This Row],[churn_flag]]=1, DATEDIF(subscriptions[[#This Row],[signup_date]],subscriptions[[#This Row],[churn_date]],"M"), DATEDIF(subscriptions[[#This Row],[signup_date]],TODAY(),"M"))</f>
        <v>10</v>
      </c>
      <c r="T212">
        <f ca="1">subscriptions[[#This Row],[monthly_revenue]]*subscriptions[[#This Row],[customer_lifetime]]</f>
        <v>34144.1</v>
      </c>
      <c r="U212" t="str">
        <f>IF(subscriptions[[#This Row],[feature_usage_pct]]&lt;30,"High Risk",IF(subscriptions[[#This Row],[feature_usage_pct]]&lt;60,"Medium Risk","Low Risk"))</f>
        <v>High Risk</v>
      </c>
      <c r="V212">
        <f ca="1">subscriptions[[#This Row],[CLV]]/200</f>
        <v>170.72049999999999</v>
      </c>
    </row>
    <row r="213" spans="1:22" x14ac:dyDescent="0.25">
      <c r="A213" t="s">
        <v>266</v>
      </c>
      <c r="B213" t="s">
        <v>36</v>
      </c>
      <c r="C213" t="s">
        <v>28</v>
      </c>
      <c r="D213" t="s">
        <v>20</v>
      </c>
      <c r="E213" s="2" t="s">
        <v>664</v>
      </c>
      <c r="F213">
        <v>1</v>
      </c>
      <c r="G213">
        <v>169.15</v>
      </c>
      <c r="H213" t="s">
        <v>34</v>
      </c>
      <c r="I213" t="s">
        <v>23</v>
      </c>
      <c r="J213" s="1">
        <v>45299</v>
      </c>
      <c r="K213" t="s">
        <v>26</v>
      </c>
      <c r="N213">
        <v>1</v>
      </c>
      <c r="O213">
        <v>6</v>
      </c>
      <c r="P213">
        <v>60</v>
      </c>
      <c r="Q213" t="s">
        <v>26</v>
      </c>
      <c r="R213">
        <f>IF(subscriptions[[#This Row],[churned]]="Yes",1,0)</f>
        <v>0</v>
      </c>
      <c r="S213">
        <f ca="1">IF(subscriptions[[#This Row],[churn_flag]]=1, DATEDIF(subscriptions[[#This Row],[signup_date]],subscriptions[[#This Row],[churn_date]],"M"), DATEDIF(subscriptions[[#This Row],[signup_date]],TODAY(),"M"))</f>
        <v>28</v>
      </c>
      <c r="T213">
        <f ca="1">subscriptions[[#This Row],[monthly_revenue]]*subscriptions[[#This Row],[customer_lifetime]]</f>
        <v>4736.2</v>
      </c>
      <c r="U213" t="str">
        <f>IF(subscriptions[[#This Row],[feature_usage_pct]]&lt;30,"High Risk",IF(subscriptions[[#This Row],[feature_usage_pct]]&lt;60,"Medium Risk","Low Risk"))</f>
        <v>Low Risk</v>
      </c>
      <c r="V213">
        <f ca="1">subscriptions[[#This Row],[CLV]]/200</f>
        <v>23.680999999999997</v>
      </c>
    </row>
    <row r="214" spans="1:22" x14ac:dyDescent="0.25">
      <c r="A214" t="s">
        <v>267</v>
      </c>
      <c r="B214" t="s">
        <v>36</v>
      </c>
      <c r="C214" t="s">
        <v>28</v>
      </c>
      <c r="D214" t="s">
        <v>40</v>
      </c>
      <c r="E214" s="2" t="s">
        <v>33</v>
      </c>
      <c r="F214">
        <v>209</v>
      </c>
      <c r="G214">
        <v>5446.63</v>
      </c>
      <c r="H214" t="s">
        <v>34</v>
      </c>
      <c r="I214" t="s">
        <v>23</v>
      </c>
      <c r="J214" s="1">
        <v>45066</v>
      </c>
      <c r="K214" t="s">
        <v>26</v>
      </c>
      <c r="N214">
        <v>4</v>
      </c>
      <c r="O214">
        <v>2</v>
      </c>
      <c r="P214">
        <v>31</v>
      </c>
      <c r="Q214" t="s">
        <v>26</v>
      </c>
      <c r="R214">
        <f>IF(subscriptions[[#This Row],[churned]]="Yes",1,0)</f>
        <v>0</v>
      </c>
      <c r="S214">
        <f ca="1">IF(subscriptions[[#This Row],[churn_flag]]=1, DATEDIF(subscriptions[[#This Row],[signup_date]],subscriptions[[#This Row],[churn_date]],"M"), DATEDIF(subscriptions[[#This Row],[signup_date]],TODAY(),"M"))</f>
        <v>35</v>
      </c>
      <c r="T214">
        <f ca="1">subscriptions[[#This Row],[monthly_revenue]]*subscriptions[[#This Row],[customer_lifetime]]</f>
        <v>190632.05000000002</v>
      </c>
      <c r="U214" t="str">
        <f>IF(subscriptions[[#This Row],[feature_usage_pct]]&lt;30,"High Risk",IF(subscriptions[[#This Row],[feature_usage_pct]]&lt;60,"Medium Risk","Low Risk"))</f>
        <v>Medium Risk</v>
      </c>
      <c r="V214">
        <f ca="1">subscriptions[[#This Row],[CLV]]/200</f>
        <v>953.16025000000013</v>
      </c>
    </row>
    <row r="215" spans="1:22" x14ac:dyDescent="0.25">
      <c r="A215" t="s">
        <v>268</v>
      </c>
      <c r="B215" t="s">
        <v>31</v>
      </c>
      <c r="C215" t="s">
        <v>19</v>
      </c>
      <c r="D215" t="s">
        <v>68</v>
      </c>
      <c r="E215" s="2" t="s">
        <v>663</v>
      </c>
      <c r="F215">
        <v>17</v>
      </c>
      <c r="G215">
        <v>98.6</v>
      </c>
      <c r="H215" t="s">
        <v>43</v>
      </c>
      <c r="I215" t="s">
        <v>23</v>
      </c>
      <c r="J215" s="1">
        <v>45558</v>
      </c>
      <c r="K215" t="s">
        <v>24</v>
      </c>
      <c r="L215" s="1">
        <v>45880</v>
      </c>
      <c r="M215" t="s">
        <v>63</v>
      </c>
      <c r="N215">
        <v>4</v>
      </c>
      <c r="O215">
        <v>4</v>
      </c>
      <c r="P215">
        <v>10</v>
      </c>
      <c r="Q215" t="s">
        <v>26</v>
      </c>
      <c r="R215">
        <f>IF(subscriptions[[#This Row],[churned]]="Yes",1,0)</f>
        <v>1</v>
      </c>
      <c r="S215">
        <f ca="1">IF(subscriptions[[#This Row],[churn_flag]]=1, DATEDIF(subscriptions[[#This Row],[signup_date]],subscriptions[[#This Row],[churn_date]],"M"), DATEDIF(subscriptions[[#This Row],[signup_date]],TODAY(),"M"))</f>
        <v>10</v>
      </c>
      <c r="T215">
        <f ca="1">subscriptions[[#This Row],[monthly_revenue]]*subscriptions[[#This Row],[customer_lifetime]]</f>
        <v>986</v>
      </c>
      <c r="U215" t="str">
        <f>IF(subscriptions[[#This Row],[feature_usage_pct]]&lt;30,"High Risk",IF(subscriptions[[#This Row],[feature_usage_pct]]&lt;60,"Medium Risk","Low Risk"))</f>
        <v>High Risk</v>
      </c>
      <c r="V215">
        <f ca="1">subscriptions[[#This Row],[CLV]]/200</f>
        <v>4.93</v>
      </c>
    </row>
    <row r="216" spans="1:22" x14ac:dyDescent="0.25">
      <c r="A216" t="s">
        <v>269</v>
      </c>
      <c r="B216" t="s">
        <v>31</v>
      </c>
      <c r="C216" t="s">
        <v>19</v>
      </c>
      <c r="D216" t="s">
        <v>79</v>
      </c>
      <c r="E216" s="2" t="s">
        <v>663</v>
      </c>
      <c r="F216">
        <v>21</v>
      </c>
      <c r="G216">
        <v>116</v>
      </c>
      <c r="H216" t="s">
        <v>29</v>
      </c>
      <c r="I216" t="s">
        <v>55</v>
      </c>
      <c r="J216" s="1">
        <v>45666</v>
      </c>
      <c r="K216" t="s">
        <v>24</v>
      </c>
      <c r="L216" s="1">
        <v>45837</v>
      </c>
      <c r="M216" t="s">
        <v>50</v>
      </c>
      <c r="N216">
        <v>15</v>
      </c>
      <c r="O216">
        <v>5</v>
      </c>
      <c r="P216">
        <v>27</v>
      </c>
      <c r="Q216" t="s">
        <v>26</v>
      </c>
      <c r="R216">
        <f>IF(subscriptions[[#This Row],[churned]]="Yes",1,0)</f>
        <v>1</v>
      </c>
      <c r="S216">
        <f ca="1">IF(subscriptions[[#This Row],[churn_flag]]=1, DATEDIF(subscriptions[[#This Row],[signup_date]],subscriptions[[#This Row],[churn_date]],"M"), DATEDIF(subscriptions[[#This Row],[signup_date]],TODAY(),"M"))</f>
        <v>5</v>
      </c>
      <c r="T216">
        <f ca="1">subscriptions[[#This Row],[monthly_revenue]]*subscriptions[[#This Row],[customer_lifetime]]</f>
        <v>580</v>
      </c>
      <c r="U216" t="str">
        <f>IF(subscriptions[[#This Row],[feature_usage_pct]]&lt;30,"High Risk",IF(subscriptions[[#This Row],[feature_usage_pct]]&lt;60,"Medium Risk","Low Risk"))</f>
        <v>High Risk</v>
      </c>
      <c r="V216">
        <f ca="1">subscriptions[[#This Row],[CLV]]/200</f>
        <v>2.9</v>
      </c>
    </row>
    <row r="217" spans="1:22" x14ac:dyDescent="0.25">
      <c r="A217" t="s">
        <v>270</v>
      </c>
      <c r="B217" t="s">
        <v>31</v>
      </c>
      <c r="C217" t="s">
        <v>19</v>
      </c>
      <c r="D217" t="s">
        <v>32</v>
      </c>
      <c r="E217" s="2" t="s">
        <v>663</v>
      </c>
      <c r="F217">
        <v>15</v>
      </c>
      <c r="G217">
        <v>89.9</v>
      </c>
      <c r="H217" t="s">
        <v>22</v>
      </c>
      <c r="I217" t="s">
        <v>23</v>
      </c>
      <c r="J217" s="1">
        <v>45493</v>
      </c>
      <c r="K217" t="s">
        <v>24</v>
      </c>
      <c r="L217" s="1">
        <v>45551</v>
      </c>
      <c r="M217" t="s">
        <v>46</v>
      </c>
      <c r="N217">
        <v>11</v>
      </c>
      <c r="O217">
        <v>4</v>
      </c>
      <c r="P217">
        <v>20</v>
      </c>
      <c r="Q217" t="s">
        <v>26</v>
      </c>
      <c r="R217">
        <f>IF(subscriptions[[#This Row],[churned]]="Yes",1,0)</f>
        <v>1</v>
      </c>
      <c r="S217">
        <f ca="1">IF(subscriptions[[#This Row],[churn_flag]]=1, DATEDIF(subscriptions[[#This Row],[signup_date]],subscriptions[[#This Row],[churn_date]],"M"), DATEDIF(subscriptions[[#This Row],[signup_date]],TODAY(),"M"))</f>
        <v>1</v>
      </c>
      <c r="T217">
        <f ca="1">subscriptions[[#This Row],[monthly_revenue]]*subscriptions[[#This Row],[customer_lifetime]]</f>
        <v>89.9</v>
      </c>
      <c r="U217" t="str">
        <f>IF(subscriptions[[#This Row],[feature_usage_pct]]&lt;30,"High Risk",IF(subscriptions[[#This Row],[feature_usage_pct]]&lt;60,"Medium Risk","Low Risk"))</f>
        <v>High Risk</v>
      </c>
      <c r="V217">
        <f ca="1">subscriptions[[#This Row],[CLV]]/200</f>
        <v>0.44950000000000001</v>
      </c>
    </row>
    <row r="218" spans="1:22" x14ac:dyDescent="0.25">
      <c r="A218" t="s">
        <v>271</v>
      </c>
      <c r="B218" t="s">
        <v>18</v>
      </c>
      <c r="C218" t="s">
        <v>19</v>
      </c>
      <c r="D218" t="s">
        <v>52</v>
      </c>
      <c r="E218" s="2" t="s">
        <v>21</v>
      </c>
      <c r="F218">
        <v>46</v>
      </c>
      <c r="G218">
        <v>612.25</v>
      </c>
      <c r="H218" t="s">
        <v>34</v>
      </c>
      <c r="I218" t="s">
        <v>23</v>
      </c>
      <c r="J218" s="1">
        <v>45387</v>
      </c>
      <c r="K218" t="s">
        <v>26</v>
      </c>
      <c r="N218">
        <v>3</v>
      </c>
      <c r="O218">
        <v>7</v>
      </c>
      <c r="P218">
        <v>39</v>
      </c>
      <c r="Q218" t="s">
        <v>26</v>
      </c>
      <c r="R218">
        <f>IF(subscriptions[[#This Row],[churned]]="Yes",1,0)</f>
        <v>0</v>
      </c>
      <c r="S218">
        <f ca="1">IF(subscriptions[[#This Row],[churn_flag]]=1, DATEDIF(subscriptions[[#This Row],[signup_date]],subscriptions[[#This Row],[churn_date]],"M"), DATEDIF(subscriptions[[#This Row],[signup_date]],TODAY(),"M"))</f>
        <v>25</v>
      </c>
      <c r="T218">
        <f ca="1">subscriptions[[#This Row],[monthly_revenue]]*subscriptions[[#This Row],[customer_lifetime]]</f>
        <v>15306.25</v>
      </c>
      <c r="U218" t="str">
        <f>IF(subscriptions[[#This Row],[feature_usage_pct]]&lt;30,"High Risk",IF(subscriptions[[#This Row],[feature_usage_pct]]&lt;60,"Medium Risk","Low Risk"))</f>
        <v>Medium Risk</v>
      </c>
      <c r="V218">
        <f ca="1">subscriptions[[#This Row],[CLV]]/200</f>
        <v>76.53125</v>
      </c>
    </row>
    <row r="219" spans="1:22" x14ac:dyDescent="0.25">
      <c r="A219" t="s">
        <v>272</v>
      </c>
      <c r="B219" t="s">
        <v>31</v>
      </c>
      <c r="C219" t="s">
        <v>19</v>
      </c>
      <c r="D219" t="s">
        <v>32</v>
      </c>
      <c r="E219" s="2" t="s">
        <v>21</v>
      </c>
      <c r="F219">
        <v>22</v>
      </c>
      <c r="G219">
        <v>120.35</v>
      </c>
      <c r="H219" t="s">
        <v>29</v>
      </c>
      <c r="I219" t="s">
        <v>23</v>
      </c>
      <c r="J219" s="1">
        <v>44849</v>
      </c>
      <c r="K219" t="s">
        <v>24</v>
      </c>
      <c r="L219" s="1">
        <v>45316</v>
      </c>
      <c r="M219" t="s">
        <v>56</v>
      </c>
      <c r="N219">
        <v>3</v>
      </c>
      <c r="O219">
        <v>3</v>
      </c>
      <c r="P219">
        <v>27</v>
      </c>
      <c r="Q219" t="s">
        <v>26</v>
      </c>
      <c r="R219">
        <f>IF(subscriptions[[#This Row],[churned]]="Yes",1,0)</f>
        <v>1</v>
      </c>
      <c r="S219">
        <f ca="1">IF(subscriptions[[#This Row],[churn_flag]]=1, DATEDIF(subscriptions[[#This Row],[signup_date]],subscriptions[[#This Row],[churn_date]],"M"), DATEDIF(subscriptions[[#This Row],[signup_date]],TODAY(),"M"))</f>
        <v>15</v>
      </c>
      <c r="T219">
        <f ca="1">subscriptions[[#This Row],[monthly_revenue]]*subscriptions[[#This Row],[customer_lifetime]]</f>
        <v>1805.25</v>
      </c>
      <c r="U219" t="str">
        <f>IF(subscriptions[[#This Row],[feature_usage_pct]]&lt;30,"High Risk",IF(subscriptions[[#This Row],[feature_usage_pct]]&lt;60,"Medium Risk","Low Risk"))</f>
        <v>High Risk</v>
      </c>
      <c r="V219">
        <f ca="1">subscriptions[[#This Row],[CLV]]/200</f>
        <v>9.0262499999999992</v>
      </c>
    </row>
    <row r="220" spans="1:22" x14ac:dyDescent="0.25">
      <c r="A220" t="s">
        <v>273</v>
      </c>
      <c r="B220" t="s">
        <v>31</v>
      </c>
      <c r="C220" t="s">
        <v>28</v>
      </c>
      <c r="D220" t="s">
        <v>40</v>
      </c>
      <c r="E220" s="2" t="s">
        <v>664</v>
      </c>
      <c r="F220">
        <v>8</v>
      </c>
      <c r="G220">
        <v>50.53</v>
      </c>
      <c r="H220" t="s">
        <v>22</v>
      </c>
      <c r="I220" t="s">
        <v>23</v>
      </c>
      <c r="J220" s="1">
        <v>45160</v>
      </c>
      <c r="K220" t="s">
        <v>26</v>
      </c>
      <c r="N220">
        <v>6</v>
      </c>
      <c r="O220">
        <v>8</v>
      </c>
      <c r="P220">
        <v>32</v>
      </c>
      <c r="Q220" t="s">
        <v>26</v>
      </c>
      <c r="R220">
        <f>IF(subscriptions[[#This Row],[churned]]="Yes",1,0)</f>
        <v>0</v>
      </c>
      <c r="S220">
        <f ca="1">IF(subscriptions[[#This Row],[churn_flag]]=1, DATEDIF(subscriptions[[#This Row],[signup_date]],subscriptions[[#This Row],[churn_date]],"M"), DATEDIF(subscriptions[[#This Row],[signup_date]],TODAY(),"M"))</f>
        <v>32</v>
      </c>
      <c r="T220">
        <f ca="1">subscriptions[[#This Row],[monthly_revenue]]*subscriptions[[#This Row],[customer_lifetime]]</f>
        <v>1616.96</v>
      </c>
      <c r="U220" t="str">
        <f>IF(subscriptions[[#This Row],[feature_usage_pct]]&lt;30,"High Risk",IF(subscriptions[[#This Row],[feature_usage_pct]]&lt;60,"Medium Risk","Low Risk"))</f>
        <v>Medium Risk</v>
      </c>
      <c r="V220">
        <f ca="1">subscriptions[[#This Row],[CLV]]/200</f>
        <v>8.0847999999999995</v>
      </c>
    </row>
    <row r="221" spans="1:22" x14ac:dyDescent="0.25">
      <c r="A221" t="s">
        <v>274</v>
      </c>
      <c r="B221" t="s">
        <v>18</v>
      </c>
      <c r="C221" t="s">
        <v>19</v>
      </c>
      <c r="D221" t="s">
        <v>62</v>
      </c>
      <c r="E221" s="2" t="s">
        <v>664</v>
      </c>
      <c r="F221">
        <v>1</v>
      </c>
      <c r="G221">
        <v>79</v>
      </c>
      <c r="H221" t="s">
        <v>98</v>
      </c>
      <c r="I221" t="s">
        <v>23</v>
      </c>
      <c r="J221" s="1">
        <v>45195</v>
      </c>
      <c r="K221" t="s">
        <v>24</v>
      </c>
      <c r="L221" s="1">
        <v>45788</v>
      </c>
      <c r="M221" t="s">
        <v>25</v>
      </c>
      <c r="N221">
        <v>9</v>
      </c>
      <c r="O221">
        <v>5</v>
      </c>
      <c r="P221">
        <v>44</v>
      </c>
      <c r="Q221" t="s">
        <v>26</v>
      </c>
      <c r="R221">
        <f>IF(subscriptions[[#This Row],[churned]]="Yes",1,0)</f>
        <v>1</v>
      </c>
      <c r="S221">
        <f ca="1">IF(subscriptions[[#This Row],[churn_flag]]=1, DATEDIF(subscriptions[[#This Row],[signup_date]],subscriptions[[#This Row],[churn_date]],"M"), DATEDIF(subscriptions[[#This Row],[signup_date]],TODAY(),"M"))</f>
        <v>19</v>
      </c>
      <c r="T221">
        <f ca="1">subscriptions[[#This Row],[monthly_revenue]]*subscriptions[[#This Row],[customer_lifetime]]</f>
        <v>1501</v>
      </c>
      <c r="U221" t="str">
        <f>IF(subscriptions[[#This Row],[feature_usage_pct]]&lt;30,"High Risk",IF(subscriptions[[#This Row],[feature_usage_pct]]&lt;60,"Medium Risk","Low Risk"))</f>
        <v>Medium Risk</v>
      </c>
      <c r="V221">
        <f ca="1">subscriptions[[#This Row],[CLV]]/200</f>
        <v>7.5049999999999999</v>
      </c>
    </row>
    <row r="222" spans="1:22" x14ac:dyDescent="0.25">
      <c r="A222" t="s">
        <v>275</v>
      </c>
      <c r="B222" t="s">
        <v>36</v>
      </c>
      <c r="C222" t="s">
        <v>28</v>
      </c>
      <c r="D222" t="s">
        <v>37</v>
      </c>
      <c r="E222" s="2" t="s">
        <v>664</v>
      </c>
      <c r="F222">
        <v>3</v>
      </c>
      <c r="G222">
        <v>219.9</v>
      </c>
      <c r="H222" t="s">
        <v>22</v>
      </c>
      <c r="I222" t="s">
        <v>23</v>
      </c>
      <c r="J222" s="1">
        <v>45836</v>
      </c>
      <c r="K222" t="s">
        <v>26</v>
      </c>
      <c r="N222">
        <v>7</v>
      </c>
      <c r="O222">
        <v>8</v>
      </c>
      <c r="P222">
        <v>43</v>
      </c>
      <c r="Q222" t="s">
        <v>26</v>
      </c>
      <c r="R222">
        <f>IF(subscriptions[[#This Row],[churned]]="Yes",1,0)</f>
        <v>0</v>
      </c>
      <c r="S222">
        <f ca="1">IF(subscriptions[[#This Row],[churn_flag]]=1, DATEDIF(subscriptions[[#This Row],[signup_date]],subscriptions[[#This Row],[churn_date]],"M"), DATEDIF(subscriptions[[#This Row],[signup_date]],TODAY(),"M"))</f>
        <v>10</v>
      </c>
      <c r="T222">
        <f ca="1">subscriptions[[#This Row],[monthly_revenue]]*subscriptions[[#This Row],[customer_lifetime]]</f>
        <v>2199</v>
      </c>
      <c r="U222" t="str">
        <f>IF(subscriptions[[#This Row],[feature_usage_pct]]&lt;30,"High Risk",IF(subscriptions[[#This Row],[feature_usage_pct]]&lt;60,"Medium Risk","Low Risk"))</f>
        <v>Medium Risk</v>
      </c>
      <c r="V222">
        <f ca="1">subscriptions[[#This Row],[CLV]]/200</f>
        <v>10.994999999999999</v>
      </c>
    </row>
    <row r="223" spans="1:22" x14ac:dyDescent="0.25">
      <c r="A223" t="s">
        <v>276</v>
      </c>
      <c r="B223" t="s">
        <v>18</v>
      </c>
      <c r="C223" t="s">
        <v>19</v>
      </c>
      <c r="D223" t="s">
        <v>49</v>
      </c>
      <c r="E223" s="2" t="s">
        <v>21</v>
      </c>
      <c r="F223">
        <v>47</v>
      </c>
      <c r="G223">
        <v>624.1</v>
      </c>
      <c r="H223" t="s">
        <v>43</v>
      </c>
      <c r="I223" t="s">
        <v>38</v>
      </c>
      <c r="J223" s="1">
        <v>45568</v>
      </c>
      <c r="K223" t="s">
        <v>26</v>
      </c>
      <c r="N223">
        <v>6</v>
      </c>
      <c r="O223">
        <v>8</v>
      </c>
      <c r="P223">
        <v>63</v>
      </c>
      <c r="Q223" t="s">
        <v>24</v>
      </c>
      <c r="R223">
        <f>IF(subscriptions[[#This Row],[churned]]="Yes",1,0)</f>
        <v>0</v>
      </c>
      <c r="S223">
        <f ca="1">IF(subscriptions[[#This Row],[churn_flag]]=1, DATEDIF(subscriptions[[#This Row],[signup_date]],subscriptions[[#This Row],[churn_date]],"M"), DATEDIF(subscriptions[[#This Row],[signup_date]],TODAY(),"M"))</f>
        <v>19</v>
      </c>
      <c r="T223">
        <f ca="1">subscriptions[[#This Row],[monthly_revenue]]*subscriptions[[#This Row],[customer_lifetime]]</f>
        <v>11857.9</v>
      </c>
      <c r="U223" t="str">
        <f>IF(subscriptions[[#This Row],[feature_usage_pct]]&lt;30,"High Risk",IF(subscriptions[[#This Row],[feature_usage_pct]]&lt;60,"Medium Risk","Low Risk"))</f>
        <v>Low Risk</v>
      </c>
      <c r="V223">
        <f ca="1">subscriptions[[#This Row],[CLV]]/200</f>
        <v>59.289499999999997</v>
      </c>
    </row>
    <row r="224" spans="1:22" x14ac:dyDescent="0.25">
      <c r="A224" t="s">
        <v>277</v>
      </c>
      <c r="B224" t="s">
        <v>31</v>
      </c>
      <c r="C224" t="s">
        <v>19</v>
      </c>
      <c r="D224" t="s">
        <v>40</v>
      </c>
      <c r="E224" s="2" t="s">
        <v>45</v>
      </c>
      <c r="F224">
        <v>68</v>
      </c>
      <c r="G224">
        <v>320.45</v>
      </c>
      <c r="H224" t="s">
        <v>60</v>
      </c>
      <c r="I224" t="s">
        <v>23</v>
      </c>
      <c r="J224" s="1">
        <v>45748</v>
      </c>
      <c r="K224" t="s">
        <v>24</v>
      </c>
      <c r="L224" s="1">
        <v>45949</v>
      </c>
      <c r="M224" t="s">
        <v>50</v>
      </c>
      <c r="N224">
        <v>9</v>
      </c>
      <c r="O224">
        <v>4</v>
      </c>
      <c r="P224">
        <v>42</v>
      </c>
      <c r="Q224" t="s">
        <v>26</v>
      </c>
      <c r="R224">
        <f>IF(subscriptions[[#This Row],[churned]]="Yes",1,0)</f>
        <v>1</v>
      </c>
      <c r="S224">
        <f ca="1">IF(subscriptions[[#This Row],[churn_flag]]=1, DATEDIF(subscriptions[[#This Row],[signup_date]],subscriptions[[#This Row],[churn_date]],"M"), DATEDIF(subscriptions[[#This Row],[signup_date]],TODAY(),"M"))</f>
        <v>6</v>
      </c>
      <c r="T224">
        <f ca="1">subscriptions[[#This Row],[monthly_revenue]]*subscriptions[[#This Row],[customer_lifetime]]</f>
        <v>1922.6999999999998</v>
      </c>
      <c r="U224" t="str">
        <f>IF(subscriptions[[#This Row],[feature_usage_pct]]&lt;30,"High Risk",IF(subscriptions[[#This Row],[feature_usage_pct]]&lt;60,"Medium Risk","Low Risk"))</f>
        <v>Medium Risk</v>
      </c>
      <c r="V224">
        <f ca="1">subscriptions[[#This Row],[CLV]]/200</f>
        <v>9.6134999999999984</v>
      </c>
    </row>
    <row r="225" spans="1:22" x14ac:dyDescent="0.25">
      <c r="A225" t="s">
        <v>278</v>
      </c>
      <c r="B225" t="s">
        <v>71</v>
      </c>
      <c r="C225" t="s">
        <v>28</v>
      </c>
      <c r="D225" t="s">
        <v>52</v>
      </c>
      <c r="E225" s="2" t="s">
        <v>21</v>
      </c>
      <c r="F225">
        <v>72</v>
      </c>
      <c r="G225">
        <v>4941.3500000000004</v>
      </c>
      <c r="H225" t="s">
        <v>98</v>
      </c>
      <c r="I225" t="s">
        <v>69</v>
      </c>
      <c r="J225" s="1">
        <v>45689</v>
      </c>
      <c r="K225" t="s">
        <v>24</v>
      </c>
      <c r="L225" s="1">
        <v>45701</v>
      </c>
      <c r="M225" t="s">
        <v>82</v>
      </c>
      <c r="N225">
        <v>0</v>
      </c>
      <c r="O225">
        <v>1</v>
      </c>
      <c r="P225">
        <v>11</v>
      </c>
      <c r="Q225" t="s">
        <v>26</v>
      </c>
      <c r="R225">
        <f>IF(subscriptions[[#This Row],[churned]]="Yes",1,0)</f>
        <v>1</v>
      </c>
      <c r="S225">
        <f ca="1">IF(subscriptions[[#This Row],[churn_flag]]=1, DATEDIF(subscriptions[[#This Row],[signup_date]],subscriptions[[#This Row],[churn_date]],"M"), DATEDIF(subscriptions[[#This Row],[signup_date]],TODAY(),"M"))</f>
        <v>0</v>
      </c>
      <c r="T225">
        <f ca="1">subscriptions[[#This Row],[monthly_revenue]]*subscriptions[[#This Row],[customer_lifetime]]</f>
        <v>0</v>
      </c>
      <c r="U225" t="str">
        <f>IF(subscriptions[[#This Row],[feature_usage_pct]]&lt;30,"High Risk",IF(subscriptions[[#This Row],[feature_usage_pct]]&lt;60,"Medium Risk","Low Risk"))</f>
        <v>High Risk</v>
      </c>
      <c r="V225">
        <f ca="1">subscriptions[[#This Row],[CLV]]/200</f>
        <v>0</v>
      </c>
    </row>
    <row r="226" spans="1:22" x14ac:dyDescent="0.25">
      <c r="A226" t="s">
        <v>279</v>
      </c>
      <c r="B226" t="s">
        <v>18</v>
      </c>
      <c r="C226" t="s">
        <v>28</v>
      </c>
      <c r="D226" t="s">
        <v>79</v>
      </c>
      <c r="E226" s="2" t="s">
        <v>663</v>
      </c>
      <c r="F226">
        <v>27</v>
      </c>
      <c r="G226">
        <v>329.03</v>
      </c>
      <c r="H226" t="s">
        <v>22</v>
      </c>
      <c r="I226" t="s">
        <v>23</v>
      </c>
      <c r="J226" s="1">
        <v>45978</v>
      </c>
      <c r="K226" t="s">
        <v>26</v>
      </c>
      <c r="N226">
        <v>7</v>
      </c>
      <c r="O226">
        <v>4</v>
      </c>
      <c r="P226">
        <v>39</v>
      </c>
      <c r="Q226" t="s">
        <v>26</v>
      </c>
      <c r="R226">
        <f>IF(subscriptions[[#This Row],[churned]]="Yes",1,0)</f>
        <v>0</v>
      </c>
      <c r="S226">
        <f ca="1">IF(subscriptions[[#This Row],[churn_flag]]=1, DATEDIF(subscriptions[[#This Row],[signup_date]],subscriptions[[#This Row],[churn_date]],"M"), DATEDIF(subscriptions[[#This Row],[signup_date]],TODAY(),"M"))</f>
        <v>5</v>
      </c>
      <c r="T226">
        <f ca="1">subscriptions[[#This Row],[monthly_revenue]]*subscriptions[[#This Row],[customer_lifetime]]</f>
        <v>1645.1499999999999</v>
      </c>
      <c r="U226" t="str">
        <f>IF(subscriptions[[#This Row],[feature_usage_pct]]&lt;30,"High Risk",IF(subscriptions[[#This Row],[feature_usage_pct]]&lt;60,"Medium Risk","Low Risk"))</f>
        <v>Medium Risk</v>
      </c>
      <c r="V226">
        <f ca="1">subscriptions[[#This Row],[CLV]]/200</f>
        <v>8.2257499999999997</v>
      </c>
    </row>
    <row r="227" spans="1:22" x14ac:dyDescent="0.25">
      <c r="A227" t="s">
        <v>280</v>
      </c>
      <c r="B227" t="s">
        <v>18</v>
      </c>
      <c r="C227" t="s">
        <v>19</v>
      </c>
      <c r="D227" t="s">
        <v>20</v>
      </c>
      <c r="E227" s="2" t="s">
        <v>21</v>
      </c>
      <c r="F227">
        <v>64</v>
      </c>
      <c r="G227">
        <v>825.55</v>
      </c>
      <c r="H227" t="s">
        <v>22</v>
      </c>
      <c r="I227" t="s">
        <v>38</v>
      </c>
      <c r="J227" s="1">
        <v>45765</v>
      </c>
      <c r="K227" t="s">
        <v>26</v>
      </c>
      <c r="N227">
        <v>10</v>
      </c>
      <c r="O227">
        <v>4</v>
      </c>
      <c r="P227">
        <v>87</v>
      </c>
      <c r="Q227" t="s">
        <v>26</v>
      </c>
      <c r="R227">
        <f>IF(subscriptions[[#This Row],[churned]]="Yes",1,0)</f>
        <v>0</v>
      </c>
      <c r="S227">
        <f ca="1">IF(subscriptions[[#This Row],[churn_flag]]=1, DATEDIF(subscriptions[[#This Row],[signup_date]],subscriptions[[#This Row],[churn_date]],"M"), DATEDIF(subscriptions[[#This Row],[signup_date]],TODAY(),"M"))</f>
        <v>12</v>
      </c>
      <c r="T227">
        <f ca="1">subscriptions[[#This Row],[monthly_revenue]]*subscriptions[[#This Row],[customer_lifetime]]</f>
        <v>9906.5999999999985</v>
      </c>
      <c r="U227" t="str">
        <f>IF(subscriptions[[#This Row],[feature_usage_pct]]&lt;30,"High Risk",IF(subscriptions[[#This Row],[feature_usage_pct]]&lt;60,"Medium Risk","Low Risk"))</f>
        <v>Low Risk</v>
      </c>
      <c r="V227">
        <f ca="1">subscriptions[[#This Row],[CLV]]/200</f>
        <v>49.532999999999994</v>
      </c>
    </row>
    <row r="228" spans="1:22" x14ac:dyDescent="0.25">
      <c r="A228" t="s">
        <v>281</v>
      </c>
      <c r="B228" t="s">
        <v>31</v>
      </c>
      <c r="C228" t="s">
        <v>19</v>
      </c>
      <c r="D228" t="s">
        <v>20</v>
      </c>
      <c r="E228" s="2" t="s">
        <v>664</v>
      </c>
      <c r="F228">
        <v>6</v>
      </c>
      <c r="G228">
        <v>50.75</v>
      </c>
      <c r="H228" t="s">
        <v>43</v>
      </c>
      <c r="I228" t="s">
        <v>38</v>
      </c>
      <c r="J228" s="1">
        <v>45545</v>
      </c>
      <c r="K228" t="s">
        <v>24</v>
      </c>
      <c r="L228" s="1">
        <v>45592</v>
      </c>
      <c r="M228" t="s">
        <v>82</v>
      </c>
      <c r="N228">
        <v>5</v>
      </c>
      <c r="O228">
        <v>3</v>
      </c>
      <c r="P228">
        <v>39</v>
      </c>
      <c r="Q228" t="s">
        <v>26</v>
      </c>
      <c r="R228">
        <f>IF(subscriptions[[#This Row],[churned]]="Yes",1,0)</f>
        <v>1</v>
      </c>
      <c r="S228">
        <f ca="1">IF(subscriptions[[#This Row],[churn_flag]]=1, DATEDIF(subscriptions[[#This Row],[signup_date]],subscriptions[[#This Row],[churn_date]],"M"), DATEDIF(subscriptions[[#This Row],[signup_date]],TODAY(),"M"))</f>
        <v>1</v>
      </c>
      <c r="T228">
        <f ca="1">subscriptions[[#This Row],[monthly_revenue]]*subscriptions[[#This Row],[customer_lifetime]]</f>
        <v>50.75</v>
      </c>
      <c r="U228" t="str">
        <f>IF(subscriptions[[#This Row],[feature_usage_pct]]&lt;30,"High Risk",IF(subscriptions[[#This Row],[feature_usage_pct]]&lt;60,"Medium Risk","Low Risk"))</f>
        <v>Medium Risk</v>
      </c>
      <c r="V228">
        <f ca="1">subscriptions[[#This Row],[CLV]]/200</f>
        <v>0.25374999999999998</v>
      </c>
    </row>
    <row r="229" spans="1:22" x14ac:dyDescent="0.25">
      <c r="A229" t="s">
        <v>282</v>
      </c>
      <c r="B229" t="s">
        <v>31</v>
      </c>
      <c r="C229" t="s">
        <v>28</v>
      </c>
      <c r="D229" t="s">
        <v>79</v>
      </c>
      <c r="E229" s="2" t="s">
        <v>663</v>
      </c>
      <c r="F229">
        <v>10</v>
      </c>
      <c r="G229">
        <v>57.93</v>
      </c>
      <c r="H229" t="s">
        <v>22</v>
      </c>
      <c r="I229" t="s">
        <v>38</v>
      </c>
      <c r="J229" s="1">
        <v>45303</v>
      </c>
      <c r="K229" t="s">
        <v>26</v>
      </c>
      <c r="N229">
        <v>8</v>
      </c>
      <c r="O229">
        <v>6</v>
      </c>
      <c r="P229">
        <v>46</v>
      </c>
      <c r="Q229" t="s">
        <v>24</v>
      </c>
      <c r="R229">
        <f>IF(subscriptions[[#This Row],[churned]]="Yes",1,0)</f>
        <v>0</v>
      </c>
      <c r="S229">
        <f ca="1">IF(subscriptions[[#This Row],[churn_flag]]=1, DATEDIF(subscriptions[[#This Row],[signup_date]],subscriptions[[#This Row],[churn_date]],"M"), DATEDIF(subscriptions[[#This Row],[signup_date]],TODAY(),"M"))</f>
        <v>28</v>
      </c>
      <c r="T229">
        <f ca="1">subscriptions[[#This Row],[monthly_revenue]]*subscriptions[[#This Row],[customer_lifetime]]</f>
        <v>1622.04</v>
      </c>
      <c r="U229" t="str">
        <f>IF(subscriptions[[#This Row],[feature_usage_pct]]&lt;30,"High Risk",IF(subscriptions[[#This Row],[feature_usage_pct]]&lt;60,"Medium Risk","Low Risk"))</f>
        <v>Medium Risk</v>
      </c>
      <c r="V229">
        <f ca="1">subscriptions[[#This Row],[CLV]]/200</f>
        <v>8.110199999999999</v>
      </c>
    </row>
    <row r="230" spans="1:22" x14ac:dyDescent="0.25">
      <c r="A230" t="s">
        <v>283</v>
      </c>
      <c r="B230" t="s">
        <v>71</v>
      </c>
      <c r="C230" t="s">
        <v>19</v>
      </c>
      <c r="D230" t="s">
        <v>40</v>
      </c>
      <c r="E230" s="2" t="s">
        <v>45</v>
      </c>
      <c r="F230">
        <v>118</v>
      </c>
      <c r="G230">
        <v>9256.4500000000007</v>
      </c>
      <c r="H230" t="s">
        <v>22</v>
      </c>
      <c r="I230" t="s">
        <v>38</v>
      </c>
      <c r="J230" s="1">
        <v>45388</v>
      </c>
      <c r="K230" t="s">
        <v>26</v>
      </c>
      <c r="N230">
        <v>0</v>
      </c>
      <c r="O230">
        <v>10</v>
      </c>
      <c r="P230">
        <v>85</v>
      </c>
      <c r="Q230" t="s">
        <v>26</v>
      </c>
      <c r="R230">
        <f>IF(subscriptions[[#This Row],[churned]]="Yes",1,0)</f>
        <v>0</v>
      </c>
      <c r="S230">
        <f ca="1">IF(subscriptions[[#This Row],[churn_flag]]=1, DATEDIF(subscriptions[[#This Row],[signup_date]],subscriptions[[#This Row],[churn_date]],"M"), DATEDIF(subscriptions[[#This Row],[signup_date]],TODAY(),"M"))</f>
        <v>25</v>
      </c>
      <c r="T230">
        <f ca="1">subscriptions[[#This Row],[monthly_revenue]]*subscriptions[[#This Row],[customer_lifetime]]</f>
        <v>231411.25000000003</v>
      </c>
      <c r="U230" t="str">
        <f>IF(subscriptions[[#This Row],[feature_usage_pct]]&lt;30,"High Risk",IF(subscriptions[[#This Row],[feature_usage_pct]]&lt;60,"Medium Risk","Low Risk"))</f>
        <v>Low Risk</v>
      </c>
      <c r="V230">
        <f ca="1">subscriptions[[#This Row],[CLV]]/200</f>
        <v>1157.0562500000001</v>
      </c>
    </row>
    <row r="231" spans="1:22" x14ac:dyDescent="0.25">
      <c r="A231" t="s">
        <v>284</v>
      </c>
      <c r="B231" t="s">
        <v>31</v>
      </c>
      <c r="C231" t="s">
        <v>19</v>
      </c>
      <c r="D231" t="s">
        <v>32</v>
      </c>
      <c r="E231" s="2" t="s">
        <v>663</v>
      </c>
      <c r="F231">
        <v>24</v>
      </c>
      <c r="G231">
        <v>129.05000000000001</v>
      </c>
      <c r="H231" t="s">
        <v>43</v>
      </c>
      <c r="I231" t="s">
        <v>23</v>
      </c>
      <c r="J231" s="1">
        <v>45087</v>
      </c>
      <c r="K231" t="s">
        <v>24</v>
      </c>
      <c r="L231" s="1">
        <v>45221</v>
      </c>
      <c r="M231" t="s">
        <v>50</v>
      </c>
      <c r="N231">
        <v>13</v>
      </c>
      <c r="O231">
        <v>1</v>
      </c>
      <c r="P231">
        <v>31</v>
      </c>
      <c r="Q231" t="s">
        <v>26</v>
      </c>
      <c r="R231">
        <f>IF(subscriptions[[#This Row],[churned]]="Yes",1,0)</f>
        <v>1</v>
      </c>
      <c r="S231">
        <f ca="1">IF(subscriptions[[#This Row],[churn_flag]]=1, DATEDIF(subscriptions[[#This Row],[signup_date]],subscriptions[[#This Row],[churn_date]],"M"), DATEDIF(subscriptions[[#This Row],[signup_date]],TODAY(),"M"))</f>
        <v>4</v>
      </c>
      <c r="T231">
        <f ca="1">subscriptions[[#This Row],[monthly_revenue]]*subscriptions[[#This Row],[customer_lifetime]]</f>
        <v>516.20000000000005</v>
      </c>
      <c r="U231" t="str">
        <f>IF(subscriptions[[#This Row],[feature_usage_pct]]&lt;30,"High Risk",IF(subscriptions[[#This Row],[feature_usage_pct]]&lt;60,"Medium Risk","Low Risk"))</f>
        <v>Medium Risk</v>
      </c>
      <c r="V231">
        <f ca="1">subscriptions[[#This Row],[CLV]]/200</f>
        <v>2.5810000000000004</v>
      </c>
    </row>
    <row r="232" spans="1:22" x14ac:dyDescent="0.25">
      <c r="A232" t="s">
        <v>285</v>
      </c>
      <c r="B232" t="s">
        <v>31</v>
      </c>
      <c r="C232" t="s">
        <v>19</v>
      </c>
      <c r="D232" t="s">
        <v>62</v>
      </c>
      <c r="E232" s="2" t="s">
        <v>21</v>
      </c>
      <c r="F232">
        <v>33</v>
      </c>
      <c r="G232">
        <v>168.2</v>
      </c>
      <c r="H232" t="s">
        <v>29</v>
      </c>
      <c r="I232" t="s">
        <v>23</v>
      </c>
      <c r="J232" s="1">
        <v>45246</v>
      </c>
      <c r="K232" t="s">
        <v>26</v>
      </c>
      <c r="N232">
        <v>4</v>
      </c>
      <c r="O232">
        <v>9</v>
      </c>
      <c r="P232">
        <v>52</v>
      </c>
      <c r="Q232" t="s">
        <v>26</v>
      </c>
      <c r="R232">
        <f>IF(subscriptions[[#This Row],[churned]]="Yes",1,0)</f>
        <v>0</v>
      </c>
      <c r="S232">
        <f ca="1">IF(subscriptions[[#This Row],[churn_flag]]=1, DATEDIF(subscriptions[[#This Row],[signup_date]],subscriptions[[#This Row],[churn_date]],"M"), DATEDIF(subscriptions[[#This Row],[signup_date]],TODAY(),"M"))</f>
        <v>29</v>
      </c>
      <c r="T232">
        <f ca="1">subscriptions[[#This Row],[monthly_revenue]]*subscriptions[[#This Row],[customer_lifetime]]</f>
        <v>4877.7999999999993</v>
      </c>
      <c r="U232" t="str">
        <f>IF(subscriptions[[#This Row],[feature_usage_pct]]&lt;30,"High Risk",IF(subscriptions[[#This Row],[feature_usage_pct]]&lt;60,"Medium Risk","Low Risk"))</f>
        <v>Medium Risk</v>
      </c>
      <c r="V232">
        <f ca="1">subscriptions[[#This Row],[CLV]]/200</f>
        <v>24.388999999999996</v>
      </c>
    </row>
    <row r="233" spans="1:22" x14ac:dyDescent="0.25">
      <c r="A233" t="s">
        <v>286</v>
      </c>
      <c r="B233" t="s">
        <v>18</v>
      </c>
      <c r="C233" t="s">
        <v>19</v>
      </c>
      <c r="D233" t="s">
        <v>20</v>
      </c>
      <c r="E233" s="2" t="s">
        <v>21</v>
      </c>
      <c r="F233">
        <v>44</v>
      </c>
      <c r="G233">
        <v>588.54999999999995</v>
      </c>
      <c r="H233" t="s">
        <v>22</v>
      </c>
      <c r="I233" t="s">
        <v>38</v>
      </c>
      <c r="J233" s="1">
        <v>45817</v>
      </c>
      <c r="K233" t="s">
        <v>26</v>
      </c>
      <c r="N233">
        <v>9</v>
      </c>
      <c r="O233">
        <v>5</v>
      </c>
      <c r="P233">
        <v>71</v>
      </c>
      <c r="Q233" t="s">
        <v>26</v>
      </c>
      <c r="R233">
        <f>IF(subscriptions[[#This Row],[churned]]="Yes",1,0)</f>
        <v>0</v>
      </c>
      <c r="S233">
        <f ca="1">IF(subscriptions[[#This Row],[churn_flag]]=1, DATEDIF(subscriptions[[#This Row],[signup_date]],subscriptions[[#This Row],[churn_date]],"M"), DATEDIF(subscriptions[[#This Row],[signup_date]],TODAY(),"M"))</f>
        <v>11</v>
      </c>
      <c r="T233">
        <f ca="1">subscriptions[[#This Row],[monthly_revenue]]*subscriptions[[#This Row],[customer_lifetime]]</f>
        <v>6474.0499999999993</v>
      </c>
      <c r="U233" t="str">
        <f>IF(subscriptions[[#This Row],[feature_usage_pct]]&lt;30,"High Risk",IF(subscriptions[[#This Row],[feature_usage_pct]]&lt;60,"Medium Risk","Low Risk"))</f>
        <v>Low Risk</v>
      </c>
      <c r="V233">
        <f ca="1">subscriptions[[#This Row],[CLV]]/200</f>
        <v>32.370249999999999</v>
      </c>
    </row>
    <row r="234" spans="1:22" x14ac:dyDescent="0.25">
      <c r="A234" t="s">
        <v>287</v>
      </c>
      <c r="B234" t="s">
        <v>18</v>
      </c>
      <c r="C234" t="s">
        <v>19</v>
      </c>
      <c r="D234" t="s">
        <v>37</v>
      </c>
      <c r="E234" s="2" t="s">
        <v>45</v>
      </c>
      <c r="F234">
        <v>112</v>
      </c>
      <c r="G234">
        <v>1394.35</v>
      </c>
      <c r="H234" t="s">
        <v>34</v>
      </c>
      <c r="I234" t="s">
        <v>23</v>
      </c>
      <c r="J234" s="1">
        <v>45695</v>
      </c>
      <c r="K234" t="s">
        <v>26</v>
      </c>
      <c r="N234">
        <v>0</v>
      </c>
      <c r="O234">
        <v>8</v>
      </c>
      <c r="P234">
        <v>17</v>
      </c>
      <c r="Q234" t="s">
        <v>26</v>
      </c>
      <c r="R234">
        <f>IF(subscriptions[[#This Row],[churned]]="Yes",1,0)</f>
        <v>0</v>
      </c>
      <c r="S234">
        <f ca="1">IF(subscriptions[[#This Row],[churn_flag]]=1, DATEDIF(subscriptions[[#This Row],[signup_date]],subscriptions[[#This Row],[churn_date]],"M"), DATEDIF(subscriptions[[#This Row],[signup_date]],TODAY(),"M"))</f>
        <v>15</v>
      </c>
      <c r="T234">
        <f ca="1">subscriptions[[#This Row],[monthly_revenue]]*subscriptions[[#This Row],[customer_lifetime]]</f>
        <v>20915.25</v>
      </c>
      <c r="U234" t="str">
        <f>IF(subscriptions[[#This Row],[feature_usage_pct]]&lt;30,"High Risk",IF(subscriptions[[#This Row],[feature_usage_pct]]&lt;60,"Medium Risk","Low Risk"))</f>
        <v>High Risk</v>
      </c>
      <c r="V234">
        <f ca="1">subscriptions[[#This Row],[CLV]]/200</f>
        <v>104.57625</v>
      </c>
    </row>
    <row r="235" spans="1:22" x14ac:dyDescent="0.25">
      <c r="A235" t="s">
        <v>288</v>
      </c>
      <c r="B235" t="s">
        <v>36</v>
      </c>
      <c r="C235" t="s">
        <v>19</v>
      </c>
      <c r="D235" t="s">
        <v>79</v>
      </c>
      <c r="E235" s="2" t="s">
        <v>21</v>
      </c>
      <c r="F235">
        <v>55</v>
      </c>
      <c r="G235">
        <v>1810.9</v>
      </c>
      <c r="H235" t="s">
        <v>60</v>
      </c>
      <c r="I235" t="s">
        <v>23</v>
      </c>
      <c r="J235" s="1">
        <v>45385</v>
      </c>
      <c r="K235" t="s">
        <v>24</v>
      </c>
      <c r="L235" s="1">
        <v>45630</v>
      </c>
      <c r="M235" t="s">
        <v>46</v>
      </c>
      <c r="N235">
        <v>2</v>
      </c>
      <c r="O235">
        <v>2</v>
      </c>
      <c r="P235">
        <v>15</v>
      </c>
      <c r="Q235" t="s">
        <v>26</v>
      </c>
      <c r="R235">
        <f>IF(subscriptions[[#This Row],[churned]]="Yes",1,0)</f>
        <v>1</v>
      </c>
      <c r="S235">
        <f ca="1">IF(subscriptions[[#This Row],[churn_flag]]=1, DATEDIF(subscriptions[[#This Row],[signup_date]],subscriptions[[#This Row],[churn_date]],"M"), DATEDIF(subscriptions[[#This Row],[signup_date]],TODAY(),"M"))</f>
        <v>8</v>
      </c>
      <c r="T235">
        <f ca="1">subscriptions[[#This Row],[monthly_revenue]]*subscriptions[[#This Row],[customer_lifetime]]</f>
        <v>14487.2</v>
      </c>
      <c r="U235" t="str">
        <f>IF(subscriptions[[#This Row],[feature_usage_pct]]&lt;30,"High Risk",IF(subscriptions[[#This Row],[feature_usage_pct]]&lt;60,"Medium Risk","Low Risk"))</f>
        <v>High Risk</v>
      </c>
      <c r="V235">
        <f ca="1">subscriptions[[#This Row],[CLV]]/200</f>
        <v>72.436000000000007</v>
      </c>
    </row>
    <row r="236" spans="1:22" x14ac:dyDescent="0.25">
      <c r="A236" t="s">
        <v>289</v>
      </c>
      <c r="B236" t="s">
        <v>36</v>
      </c>
      <c r="C236" t="s">
        <v>28</v>
      </c>
      <c r="D236" t="s">
        <v>79</v>
      </c>
      <c r="E236" s="2" t="s">
        <v>663</v>
      </c>
      <c r="F236">
        <v>15</v>
      </c>
      <c r="G236">
        <v>524.37</v>
      </c>
      <c r="H236" t="s">
        <v>60</v>
      </c>
      <c r="I236" t="s">
        <v>23</v>
      </c>
      <c r="J236" s="1">
        <v>45421</v>
      </c>
      <c r="K236" t="s">
        <v>26</v>
      </c>
      <c r="N236">
        <v>6</v>
      </c>
      <c r="O236">
        <v>9</v>
      </c>
      <c r="P236">
        <v>23</v>
      </c>
      <c r="Q236" t="s">
        <v>24</v>
      </c>
      <c r="R236">
        <f>IF(subscriptions[[#This Row],[churned]]="Yes",1,0)</f>
        <v>0</v>
      </c>
      <c r="S236">
        <f ca="1">IF(subscriptions[[#This Row],[churn_flag]]=1, DATEDIF(subscriptions[[#This Row],[signup_date]],subscriptions[[#This Row],[churn_date]],"M"), DATEDIF(subscriptions[[#This Row],[signup_date]],TODAY(),"M"))</f>
        <v>24</v>
      </c>
      <c r="T236">
        <f ca="1">subscriptions[[#This Row],[monthly_revenue]]*subscriptions[[#This Row],[customer_lifetime]]</f>
        <v>12584.880000000001</v>
      </c>
      <c r="U236" t="str">
        <f>IF(subscriptions[[#This Row],[feature_usage_pct]]&lt;30,"High Risk",IF(subscriptions[[#This Row],[feature_usage_pct]]&lt;60,"Medium Risk","Low Risk"))</f>
        <v>High Risk</v>
      </c>
      <c r="V236">
        <f ca="1">subscriptions[[#This Row],[CLV]]/200</f>
        <v>62.924400000000006</v>
      </c>
    </row>
    <row r="237" spans="1:22" x14ac:dyDescent="0.25">
      <c r="A237" t="s">
        <v>290</v>
      </c>
      <c r="B237" t="s">
        <v>31</v>
      </c>
      <c r="C237" t="s">
        <v>19</v>
      </c>
      <c r="D237" t="s">
        <v>49</v>
      </c>
      <c r="E237" s="2" t="s">
        <v>45</v>
      </c>
      <c r="F237">
        <v>45</v>
      </c>
      <c r="G237">
        <v>220.4</v>
      </c>
      <c r="H237" t="s">
        <v>60</v>
      </c>
      <c r="I237" t="s">
        <v>38</v>
      </c>
      <c r="J237" s="1">
        <v>45117</v>
      </c>
      <c r="K237" t="s">
        <v>24</v>
      </c>
      <c r="L237" s="1">
        <v>45119</v>
      </c>
      <c r="M237" t="s">
        <v>56</v>
      </c>
      <c r="N237">
        <v>7</v>
      </c>
      <c r="O237">
        <v>3</v>
      </c>
      <c r="P237">
        <v>49</v>
      </c>
      <c r="Q237" t="s">
        <v>26</v>
      </c>
      <c r="R237">
        <f>IF(subscriptions[[#This Row],[churned]]="Yes",1,0)</f>
        <v>1</v>
      </c>
      <c r="S237">
        <f ca="1">IF(subscriptions[[#This Row],[churn_flag]]=1, DATEDIF(subscriptions[[#This Row],[signup_date]],subscriptions[[#This Row],[churn_date]],"M"), DATEDIF(subscriptions[[#This Row],[signup_date]],TODAY(),"M"))</f>
        <v>0</v>
      </c>
      <c r="T237">
        <f ca="1">subscriptions[[#This Row],[monthly_revenue]]*subscriptions[[#This Row],[customer_lifetime]]</f>
        <v>0</v>
      </c>
      <c r="U237" t="str">
        <f>IF(subscriptions[[#This Row],[feature_usage_pct]]&lt;30,"High Risk",IF(subscriptions[[#This Row],[feature_usage_pct]]&lt;60,"Medium Risk","Low Risk"))</f>
        <v>Medium Risk</v>
      </c>
      <c r="V237">
        <f ca="1">subscriptions[[#This Row],[CLV]]/200</f>
        <v>0</v>
      </c>
    </row>
    <row r="238" spans="1:22" x14ac:dyDescent="0.25">
      <c r="A238" t="s">
        <v>291</v>
      </c>
      <c r="B238" t="s">
        <v>18</v>
      </c>
      <c r="C238" t="s">
        <v>19</v>
      </c>
      <c r="D238" t="s">
        <v>79</v>
      </c>
      <c r="E238" s="2" t="s">
        <v>33</v>
      </c>
      <c r="F238">
        <v>109</v>
      </c>
      <c r="G238">
        <v>1358.8</v>
      </c>
      <c r="H238" t="s">
        <v>29</v>
      </c>
      <c r="I238" t="s">
        <v>38</v>
      </c>
      <c r="J238" s="1">
        <v>44788</v>
      </c>
      <c r="K238" t="s">
        <v>26</v>
      </c>
      <c r="N238">
        <v>0</v>
      </c>
      <c r="O238">
        <v>3</v>
      </c>
      <c r="P238">
        <v>30</v>
      </c>
      <c r="Q238" t="s">
        <v>26</v>
      </c>
      <c r="R238">
        <f>IF(subscriptions[[#This Row],[churned]]="Yes",1,0)</f>
        <v>0</v>
      </c>
      <c r="S238">
        <f ca="1">IF(subscriptions[[#This Row],[churn_flag]]=1, DATEDIF(subscriptions[[#This Row],[signup_date]],subscriptions[[#This Row],[churn_date]],"M"), DATEDIF(subscriptions[[#This Row],[signup_date]],TODAY(),"M"))</f>
        <v>44</v>
      </c>
      <c r="T238">
        <f ca="1">subscriptions[[#This Row],[monthly_revenue]]*subscriptions[[#This Row],[customer_lifetime]]</f>
        <v>59787.199999999997</v>
      </c>
      <c r="U238" t="str">
        <f>IF(subscriptions[[#This Row],[feature_usage_pct]]&lt;30,"High Risk",IF(subscriptions[[#This Row],[feature_usage_pct]]&lt;60,"Medium Risk","Low Risk"))</f>
        <v>Medium Risk</v>
      </c>
      <c r="V238">
        <f ca="1">subscriptions[[#This Row],[CLV]]/200</f>
        <v>298.93599999999998</v>
      </c>
    </row>
    <row r="239" spans="1:22" x14ac:dyDescent="0.25">
      <c r="A239" t="s">
        <v>292</v>
      </c>
      <c r="B239" t="s">
        <v>36</v>
      </c>
      <c r="C239" t="s">
        <v>19</v>
      </c>
      <c r="D239" t="s">
        <v>37</v>
      </c>
      <c r="E239" s="2" t="s">
        <v>21</v>
      </c>
      <c r="F239">
        <v>29</v>
      </c>
      <c r="G239">
        <v>1034.8</v>
      </c>
      <c r="H239" t="s">
        <v>43</v>
      </c>
      <c r="I239" t="s">
        <v>23</v>
      </c>
      <c r="J239" s="1">
        <v>45045</v>
      </c>
      <c r="K239" t="s">
        <v>26</v>
      </c>
      <c r="N239">
        <v>12</v>
      </c>
      <c r="O239">
        <v>1</v>
      </c>
      <c r="P239">
        <v>86</v>
      </c>
      <c r="Q239" t="s">
        <v>26</v>
      </c>
      <c r="R239">
        <f>IF(subscriptions[[#This Row],[churned]]="Yes",1,0)</f>
        <v>0</v>
      </c>
      <c r="S239">
        <f ca="1">IF(subscriptions[[#This Row],[churn_flag]]=1, DATEDIF(subscriptions[[#This Row],[signup_date]],subscriptions[[#This Row],[churn_date]],"M"), DATEDIF(subscriptions[[#This Row],[signup_date]],TODAY(),"M"))</f>
        <v>36</v>
      </c>
      <c r="T239">
        <f ca="1">subscriptions[[#This Row],[monthly_revenue]]*subscriptions[[#This Row],[customer_lifetime]]</f>
        <v>37252.799999999996</v>
      </c>
      <c r="U239" t="str">
        <f>IF(subscriptions[[#This Row],[feature_usage_pct]]&lt;30,"High Risk",IF(subscriptions[[#This Row],[feature_usage_pct]]&lt;60,"Medium Risk","Low Risk"))</f>
        <v>Low Risk</v>
      </c>
      <c r="V239">
        <f ca="1">subscriptions[[#This Row],[CLV]]/200</f>
        <v>186.26399999999998</v>
      </c>
    </row>
    <row r="240" spans="1:22" x14ac:dyDescent="0.25">
      <c r="A240" t="s">
        <v>293</v>
      </c>
      <c r="B240" t="s">
        <v>36</v>
      </c>
      <c r="C240" t="s">
        <v>19</v>
      </c>
      <c r="D240" t="s">
        <v>49</v>
      </c>
      <c r="E240" s="2" t="s">
        <v>663</v>
      </c>
      <c r="F240">
        <v>34</v>
      </c>
      <c r="G240">
        <v>1184.05</v>
      </c>
      <c r="H240" t="s">
        <v>34</v>
      </c>
      <c r="I240" t="s">
        <v>69</v>
      </c>
      <c r="J240" s="1">
        <v>44667</v>
      </c>
      <c r="K240" t="s">
        <v>24</v>
      </c>
      <c r="L240" s="1">
        <v>45109</v>
      </c>
      <c r="M240" t="s">
        <v>82</v>
      </c>
      <c r="N240">
        <v>8</v>
      </c>
      <c r="O240">
        <v>3</v>
      </c>
      <c r="P240">
        <v>24</v>
      </c>
      <c r="Q240" t="s">
        <v>26</v>
      </c>
      <c r="R240">
        <f>IF(subscriptions[[#This Row],[churned]]="Yes",1,0)</f>
        <v>1</v>
      </c>
      <c r="S240">
        <f ca="1">IF(subscriptions[[#This Row],[churn_flag]]=1, DATEDIF(subscriptions[[#This Row],[signup_date]],subscriptions[[#This Row],[churn_date]],"M"), DATEDIF(subscriptions[[#This Row],[signup_date]],TODAY(),"M"))</f>
        <v>14</v>
      </c>
      <c r="T240">
        <f ca="1">subscriptions[[#This Row],[monthly_revenue]]*subscriptions[[#This Row],[customer_lifetime]]</f>
        <v>16576.7</v>
      </c>
      <c r="U240" t="str">
        <f>IF(subscriptions[[#This Row],[feature_usage_pct]]&lt;30,"High Risk",IF(subscriptions[[#This Row],[feature_usage_pct]]&lt;60,"Medium Risk","Low Risk"))</f>
        <v>High Risk</v>
      </c>
      <c r="V240">
        <f ca="1">subscriptions[[#This Row],[CLV]]/200</f>
        <v>82.883499999999998</v>
      </c>
    </row>
    <row r="241" spans="1:22" x14ac:dyDescent="0.25">
      <c r="A241" t="s">
        <v>294</v>
      </c>
      <c r="B241" t="s">
        <v>31</v>
      </c>
      <c r="C241" t="s">
        <v>28</v>
      </c>
      <c r="D241" t="s">
        <v>68</v>
      </c>
      <c r="E241" s="2" t="s">
        <v>664</v>
      </c>
      <c r="F241">
        <v>4</v>
      </c>
      <c r="G241">
        <v>35.74</v>
      </c>
      <c r="H241" t="s">
        <v>98</v>
      </c>
      <c r="I241" t="s">
        <v>55</v>
      </c>
      <c r="J241" s="1">
        <v>45703</v>
      </c>
      <c r="K241" t="s">
        <v>26</v>
      </c>
      <c r="N241">
        <v>6</v>
      </c>
      <c r="O241">
        <v>2</v>
      </c>
      <c r="P241">
        <v>23</v>
      </c>
      <c r="Q241" t="s">
        <v>26</v>
      </c>
      <c r="R241">
        <f>IF(subscriptions[[#This Row],[churned]]="Yes",1,0)</f>
        <v>0</v>
      </c>
      <c r="S241">
        <f ca="1">IF(subscriptions[[#This Row],[churn_flag]]=1, DATEDIF(subscriptions[[#This Row],[signup_date]],subscriptions[[#This Row],[churn_date]],"M"), DATEDIF(subscriptions[[#This Row],[signup_date]],TODAY(),"M"))</f>
        <v>14</v>
      </c>
      <c r="T241">
        <f ca="1">subscriptions[[#This Row],[monthly_revenue]]*subscriptions[[#This Row],[customer_lifetime]]</f>
        <v>500.36</v>
      </c>
      <c r="U241" t="str">
        <f>IF(subscriptions[[#This Row],[feature_usage_pct]]&lt;30,"High Risk",IF(subscriptions[[#This Row],[feature_usage_pct]]&lt;60,"Medium Risk","Low Risk"))</f>
        <v>High Risk</v>
      </c>
      <c r="V241">
        <f ca="1">subscriptions[[#This Row],[CLV]]/200</f>
        <v>2.5018000000000002</v>
      </c>
    </row>
    <row r="242" spans="1:22" x14ac:dyDescent="0.25">
      <c r="A242" t="s">
        <v>295</v>
      </c>
      <c r="B242" t="s">
        <v>31</v>
      </c>
      <c r="C242" t="s">
        <v>19</v>
      </c>
      <c r="D242" t="s">
        <v>42</v>
      </c>
      <c r="E242" s="2" t="s">
        <v>21</v>
      </c>
      <c r="F242">
        <v>66</v>
      </c>
      <c r="G242">
        <v>311.75</v>
      </c>
      <c r="H242" t="s">
        <v>43</v>
      </c>
      <c r="I242" t="s">
        <v>55</v>
      </c>
      <c r="J242" s="1">
        <v>45178</v>
      </c>
      <c r="K242" t="s">
        <v>24</v>
      </c>
      <c r="L242" s="1">
        <v>45228</v>
      </c>
      <c r="M242" t="s">
        <v>53</v>
      </c>
      <c r="N242">
        <v>1</v>
      </c>
      <c r="O242">
        <v>4</v>
      </c>
      <c r="P242">
        <v>15</v>
      </c>
      <c r="Q242" t="s">
        <v>26</v>
      </c>
      <c r="R242">
        <f>IF(subscriptions[[#This Row],[churned]]="Yes",1,0)</f>
        <v>1</v>
      </c>
      <c r="S242">
        <f ca="1">IF(subscriptions[[#This Row],[churn_flag]]=1, DATEDIF(subscriptions[[#This Row],[signup_date]],subscriptions[[#This Row],[churn_date]],"M"), DATEDIF(subscriptions[[#This Row],[signup_date]],TODAY(),"M"))</f>
        <v>1</v>
      </c>
      <c r="T242">
        <f ca="1">subscriptions[[#This Row],[monthly_revenue]]*subscriptions[[#This Row],[customer_lifetime]]</f>
        <v>311.75</v>
      </c>
      <c r="U242" t="str">
        <f>IF(subscriptions[[#This Row],[feature_usage_pct]]&lt;30,"High Risk",IF(subscriptions[[#This Row],[feature_usage_pct]]&lt;60,"Medium Risk","Low Risk"))</f>
        <v>High Risk</v>
      </c>
      <c r="V242">
        <f ca="1">subscriptions[[#This Row],[CLV]]/200</f>
        <v>1.5587500000000001</v>
      </c>
    </row>
    <row r="243" spans="1:22" x14ac:dyDescent="0.25">
      <c r="A243" t="s">
        <v>296</v>
      </c>
      <c r="B243" t="s">
        <v>36</v>
      </c>
      <c r="C243" t="s">
        <v>28</v>
      </c>
      <c r="D243" t="s">
        <v>40</v>
      </c>
      <c r="E243" s="2" t="s">
        <v>663</v>
      </c>
      <c r="F243">
        <v>10</v>
      </c>
      <c r="G243">
        <v>397.5</v>
      </c>
      <c r="H243" t="s">
        <v>60</v>
      </c>
      <c r="I243" t="s">
        <v>55</v>
      </c>
      <c r="J243" s="1">
        <v>45232</v>
      </c>
      <c r="K243" t="s">
        <v>26</v>
      </c>
      <c r="N243">
        <v>1</v>
      </c>
      <c r="O243">
        <v>8</v>
      </c>
      <c r="P243">
        <v>38</v>
      </c>
      <c r="Q243" t="s">
        <v>26</v>
      </c>
      <c r="R243">
        <f>IF(subscriptions[[#This Row],[churned]]="Yes",1,0)</f>
        <v>0</v>
      </c>
      <c r="S243">
        <f ca="1">IF(subscriptions[[#This Row],[churn_flag]]=1, DATEDIF(subscriptions[[#This Row],[signup_date]],subscriptions[[#This Row],[churn_date]],"M"), DATEDIF(subscriptions[[#This Row],[signup_date]],TODAY(),"M"))</f>
        <v>30</v>
      </c>
      <c r="T243">
        <f ca="1">subscriptions[[#This Row],[monthly_revenue]]*subscriptions[[#This Row],[customer_lifetime]]</f>
        <v>11925</v>
      </c>
      <c r="U243" t="str">
        <f>IF(subscriptions[[#This Row],[feature_usage_pct]]&lt;30,"High Risk",IF(subscriptions[[#This Row],[feature_usage_pct]]&lt;60,"Medium Risk","Low Risk"))</f>
        <v>Medium Risk</v>
      </c>
      <c r="V243">
        <f ca="1">subscriptions[[#This Row],[CLV]]/200</f>
        <v>59.625</v>
      </c>
    </row>
    <row r="244" spans="1:22" x14ac:dyDescent="0.25">
      <c r="A244" t="s">
        <v>297</v>
      </c>
      <c r="B244" t="s">
        <v>71</v>
      </c>
      <c r="C244" t="s">
        <v>19</v>
      </c>
      <c r="D244" t="s">
        <v>20</v>
      </c>
      <c r="E244" s="2" t="s">
        <v>45</v>
      </c>
      <c r="F244">
        <v>122</v>
      </c>
      <c r="G244">
        <v>9555.85</v>
      </c>
      <c r="H244" t="s">
        <v>22</v>
      </c>
      <c r="I244" t="s">
        <v>23</v>
      </c>
      <c r="J244" s="1">
        <v>45572</v>
      </c>
      <c r="K244" t="s">
        <v>26</v>
      </c>
      <c r="N244">
        <v>4</v>
      </c>
      <c r="O244">
        <v>7</v>
      </c>
      <c r="P244">
        <v>94</v>
      </c>
      <c r="Q244" t="s">
        <v>24</v>
      </c>
      <c r="R244">
        <f>IF(subscriptions[[#This Row],[churned]]="Yes",1,0)</f>
        <v>0</v>
      </c>
      <c r="S244">
        <f ca="1">IF(subscriptions[[#This Row],[churn_flag]]=1, DATEDIF(subscriptions[[#This Row],[signup_date]],subscriptions[[#This Row],[churn_date]],"M"), DATEDIF(subscriptions[[#This Row],[signup_date]],TODAY(),"M"))</f>
        <v>19</v>
      </c>
      <c r="T244">
        <f ca="1">subscriptions[[#This Row],[monthly_revenue]]*subscriptions[[#This Row],[customer_lifetime]]</f>
        <v>181561.15</v>
      </c>
      <c r="U244" t="str">
        <f>IF(subscriptions[[#This Row],[feature_usage_pct]]&lt;30,"High Risk",IF(subscriptions[[#This Row],[feature_usage_pct]]&lt;60,"Medium Risk","Low Risk"))</f>
        <v>Low Risk</v>
      </c>
      <c r="V244">
        <f ca="1">subscriptions[[#This Row],[CLV]]/200</f>
        <v>907.80574999999999</v>
      </c>
    </row>
    <row r="245" spans="1:22" x14ac:dyDescent="0.25">
      <c r="A245" t="s">
        <v>298</v>
      </c>
      <c r="B245" t="s">
        <v>31</v>
      </c>
      <c r="C245" t="s">
        <v>19</v>
      </c>
      <c r="D245" t="s">
        <v>42</v>
      </c>
      <c r="E245" s="2" t="s">
        <v>21</v>
      </c>
      <c r="F245">
        <v>23</v>
      </c>
      <c r="G245">
        <v>124.7</v>
      </c>
      <c r="H245" t="s">
        <v>60</v>
      </c>
      <c r="I245" t="s">
        <v>38</v>
      </c>
      <c r="J245" s="1">
        <v>45768</v>
      </c>
      <c r="K245" t="s">
        <v>24</v>
      </c>
      <c r="L245" s="1">
        <v>45784</v>
      </c>
      <c r="M245" t="s">
        <v>46</v>
      </c>
      <c r="N245">
        <v>7</v>
      </c>
      <c r="O245">
        <v>6</v>
      </c>
      <c r="P245">
        <v>18</v>
      </c>
      <c r="Q245" t="s">
        <v>26</v>
      </c>
      <c r="R245">
        <f>IF(subscriptions[[#This Row],[churned]]="Yes",1,0)</f>
        <v>1</v>
      </c>
      <c r="S245">
        <f ca="1">IF(subscriptions[[#This Row],[churn_flag]]=1, DATEDIF(subscriptions[[#This Row],[signup_date]],subscriptions[[#This Row],[churn_date]],"M"), DATEDIF(subscriptions[[#This Row],[signup_date]],TODAY(),"M"))</f>
        <v>0</v>
      </c>
      <c r="T245">
        <f ca="1">subscriptions[[#This Row],[monthly_revenue]]*subscriptions[[#This Row],[customer_lifetime]]</f>
        <v>0</v>
      </c>
      <c r="U245" t="str">
        <f>IF(subscriptions[[#This Row],[feature_usage_pct]]&lt;30,"High Risk",IF(subscriptions[[#This Row],[feature_usage_pct]]&lt;60,"Medium Risk","Low Risk"))</f>
        <v>High Risk</v>
      </c>
      <c r="V245">
        <f ca="1">subscriptions[[#This Row],[CLV]]/200</f>
        <v>0</v>
      </c>
    </row>
    <row r="246" spans="1:22" x14ac:dyDescent="0.25">
      <c r="A246" t="s">
        <v>299</v>
      </c>
      <c r="B246" t="s">
        <v>36</v>
      </c>
      <c r="C246" t="s">
        <v>28</v>
      </c>
      <c r="D246" t="s">
        <v>40</v>
      </c>
      <c r="E246" s="2" t="s">
        <v>664</v>
      </c>
      <c r="F246">
        <v>1</v>
      </c>
      <c r="G246">
        <v>169.15</v>
      </c>
      <c r="H246" t="s">
        <v>22</v>
      </c>
      <c r="I246" t="s">
        <v>23</v>
      </c>
      <c r="J246" s="1">
        <v>45989</v>
      </c>
      <c r="K246" t="s">
        <v>26</v>
      </c>
      <c r="N246">
        <v>5</v>
      </c>
      <c r="O246">
        <v>3</v>
      </c>
      <c r="P246">
        <v>39</v>
      </c>
      <c r="Q246" t="s">
        <v>26</v>
      </c>
      <c r="R246">
        <f>IF(subscriptions[[#This Row],[churned]]="Yes",1,0)</f>
        <v>0</v>
      </c>
      <c r="S246">
        <f ca="1">IF(subscriptions[[#This Row],[churn_flag]]=1, DATEDIF(subscriptions[[#This Row],[signup_date]],subscriptions[[#This Row],[churn_date]],"M"), DATEDIF(subscriptions[[#This Row],[signup_date]],TODAY(),"M"))</f>
        <v>5</v>
      </c>
      <c r="T246">
        <f ca="1">subscriptions[[#This Row],[monthly_revenue]]*subscriptions[[#This Row],[customer_lifetime]]</f>
        <v>845.75</v>
      </c>
      <c r="U246" t="str">
        <f>IF(subscriptions[[#This Row],[feature_usage_pct]]&lt;30,"High Risk",IF(subscriptions[[#This Row],[feature_usage_pct]]&lt;60,"Medium Risk","Low Risk"))</f>
        <v>Medium Risk</v>
      </c>
      <c r="V246">
        <f ca="1">subscriptions[[#This Row],[CLV]]/200</f>
        <v>4.2287499999999998</v>
      </c>
    </row>
    <row r="247" spans="1:22" x14ac:dyDescent="0.25">
      <c r="A247" t="s">
        <v>300</v>
      </c>
      <c r="B247" t="s">
        <v>18</v>
      </c>
      <c r="C247" t="s">
        <v>19</v>
      </c>
      <c r="D247" t="s">
        <v>79</v>
      </c>
      <c r="E247" s="2" t="s">
        <v>664</v>
      </c>
      <c r="F247">
        <v>6</v>
      </c>
      <c r="G247">
        <v>138.25</v>
      </c>
      <c r="H247" t="s">
        <v>43</v>
      </c>
      <c r="I247" t="s">
        <v>38</v>
      </c>
      <c r="J247" s="1">
        <v>45397</v>
      </c>
      <c r="K247" t="s">
        <v>24</v>
      </c>
      <c r="L247" s="1">
        <v>45466</v>
      </c>
      <c r="M247" t="s">
        <v>82</v>
      </c>
      <c r="N247">
        <v>5</v>
      </c>
      <c r="O247">
        <v>4</v>
      </c>
      <c r="P247">
        <v>14</v>
      </c>
      <c r="Q247" t="s">
        <v>26</v>
      </c>
      <c r="R247">
        <f>IF(subscriptions[[#This Row],[churned]]="Yes",1,0)</f>
        <v>1</v>
      </c>
      <c r="S247">
        <f ca="1">IF(subscriptions[[#This Row],[churn_flag]]=1, DATEDIF(subscriptions[[#This Row],[signup_date]],subscriptions[[#This Row],[churn_date]],"M"), DATEDIF(subscriptions[[#This Row],[signup_date]],TODAY(),"M"))</f>
        <v>2</v>
      </c>
      <c r="T247">
        <f ca="1">subscriptions[[#This Row],[monthly_revenue]]*subscriptions[[#This Row],[customer_lifetime]]</f>
        <v>276.5</v>
      </c>
      <c r="U247" t="str">
        <f>IF(subscriptions[[#This Row],[feature_usage_pct]]&lt;30,"High Risk",IF(subscriptions[[#This Row],[feature_usage_pct]]&lt;60,"Medium Risk","Low Risk"))</f>
        <v>High Risk</v>
      </c>
      <c r="V247">
        <f ca="1">subscriptions[[#This Row],[CLV]]/200</f>
        <v>1.3825000000000001</v>
      </c>
    </row>
    <row r="248" spans="1:22" x14ac:dyDescent="0.25">
      <c r="A248" t="s">
        <v>301</v>
      </c>
      <c r="B248" t="s">
        <v>36</v>
      </c>
      <c r="C248" t="s">
        <v>28</v>
      </c>
      <c r="D248" t="s">
        <v>49</v>
      </c>
      <c r="E248" s="2" t="s">
        <v>33</v>
      </c>
      <c r="F248">
        <v>251</v>
      </c>
      <c r="G248">
        <v>6512.27</v>
      </c>
      <c r="H248" t="s">
        <v>98</v>
      </c>
      <c r="I248" t="s">
        <v>69</v>
      </c>
      <c r="J248" s="1">
        <v>45968</v>
      </c>
      <c r="K248" t="s">
        <v>26</v>
      </c>
      <c r="N248">
        <v>10</v>
      </c>
      <c r="O248">
        <v>6</v>
      </c>
      <c r="P248">
        <v>38</v>
      </c>
      <c r="Q248" t="s">
        <v>26</v>
      </c>
      <c r="R248">
        <f>IF(subscriptions[[#This Row],[churned]]="Yes",1,0)</f>
        <v>0</v>
      </c>
      <c r="S248">
        <f ca="1">IF(subscriptions[[#This Row],[churn_flag]]=1, DATEDIF(subscriptions[[#This Row],[signup_date]],subscriptions[[#This Row],[churn_date]],"M"), DATEDIF(subscriptions[[#This Row],[signup_date]],TODAY(),"M"))</f>
        <v>6</v>
      </c>
      <c r="T248">
        <f ca="1">subscriptions[[#This Row],[monthly_revenue]]*subscriptions[[#This Row],[customer_lifetime]]</f>
        <v>39073.620000000003</v>
      </c>
      <c r="U248" t="str">
        <f>IF(subscriptions[[#This Row],[feature_usage_pct]]&lt;30,"High Risk",IF(subscriptions[[#This Row],[feature_usage_pct]]&lt;60,"Medium Risk","Low Risk"))</f>
        <v>Medium Risk</v>
      </c>
      <c r="V248">
        <f ca="1">subscriptions[[#This Row],[CLV]]/200</f>
        <v>195.36810000000003</v>
      </c>
    </row>
    <row r="249" spans="1:22" x14ac:dyDescent="0.25">
      <c r="A249" t="s">
        <v>302</v>
      </c>
      <c r="B249" t="s">
        <v>31</v>
      </c>
      <c r="C249" t="s">
        <v>28</v>
      </c>
      <c r="D249" t="s">
        <v>52</v>
      </c>
      <c r="E249" s="2" t="s">
        <v>45</v>
      </c>
      <c r="F249">
        <v>111</v>
      </c>
      <c r="G249">
        <v>431.37</v>
      </c>
      <c r="H249" t="s">
        <v>29</v>
      </c>
      <c r="I249" t="s">
        <v>38</v>
      </c>
      <c r="J249" s="1">
        <v>45373</v>
      </c>
      <c r="K249" t="s">
        <v>24</v>
      </c>
      <c r="L249" s="1">
        <v>45614</v>
      </c>
      <c r="M249" t="s">
        <v>56</v>
      </c>
      <c r="N249">
        <v>5</v>
      </c>
      <c r="O249">
        <v>1</v>
      </c>
      <c r="P249">
        <v>36</v>
      </c>
      <c r="Q249" t="s">
        <v>26</v>
      </c>
      <c r="R249">
        <f>IF(subscriptions[[#This Row],[churned]]="Yes",1,0)</f>
        <v>1</v>
      </c>
      <c r="S249">
        <f ca="1">IF(subscriptions[[#This Row],[churn_flag]]=1, DATEDIF(subscriptions[[#This Row],[signup_date]],subscriptions[[#This Row],[churn_date]],"M"), DATEDIF(subscriptions[[#This Row],[signup_date]],TODAY(),"M"))</f>
        <v>7</v>
      </c>
      <c r="T249">
        <f ca="1">subscriptions[[#This Row],[monthly_revenue]]*subscriptions[[#This Row],[customer_lifetime]]</f>
        <v>3019.59</v>
      </c>
      <c r="U249" t="str">
        <f>IF(subscriptions[[#This Row],[feature_usage_pct]]&lt;30,"High Risk",IF(subscriptions[[#This Row],[feature_usage_pct]]&lt;60,"Medium Risk","Low Risk"))</f>
        <v>Medium Risk</v>
      </c>
      <c r="V249">
        <f ca="1">subscriptions[[#This Row],[CLV]]/200</f>
        <v>15.097950000000001</v>
      </c>
    </row>
    <row r="250" spans="1:22" x14ac:dyDescent="0.25">
      <c r="A250" t="s">
        <v>303</v>
      </c>
      <c r="B250" t="s">
        <v>18</v>
      </c>
      <c r="C250" t="s">
        <v>19</v>
      </c>
      <c r="D250" t="s">
        <v>32</v>
      </c>
      <c r="E250" s="2" t="s">
        <v>664</v>
      </c>
      <c r="F250">
        <v>6</v>
      </c>
      <c r="G250">
        <v>138.25</v>
      </c>
      <c r="H250" t="s">
        <v>29</v>
      </c>
      <c r="I250" t="s">
        <v>23</v>
      </c>
      <c r="J250" s="1">
        <v>45765</v>
      </c>
      <c r="K250" t="s">
        <v>24</v>
      </c>
      <c r="L250" s="1">
        <v>45945</v>
      </c>
      <c r="M250" t="s">
        <v>46</v>
      </c>
      <c r="N250">
        <v>5</v>
      </c>
      <c r="O250">
        <v>3</v>
      </c>
      <c r="P250">
        <v>36</v>
      </c>
      <c r="Q250" t="s">
        <v>26</v>
      </c>
      <c r="R250">
        <f>IF(subscriptions[[#This Row],[churned]]="Yes",1,0)</f>
        <v>1</v>
      </c>
      <c r="S250">
        <f ca="1">IF(subscriptions[[#This Row],[churn_flag]]=1, DATEDIF(subscriptions[[#This Row],[signup_date]],subscriptions[[#This Row],[churn_date]],"M"), DATEDIF(subscriptions[[#This Row],[signup_date]],TODAY(),"M"))</f>
        <v>5</v>
      </c>
      <c r="T250">
        <f ca="1">subscriptions[[#This Row],[monthly_revenue]]*subscriptions[[#This Row],[customer_lifetime]]</f>
        <v>691.25</v>
      </c>
      <c r="U250" t="str">
        <f>IF(subscriptions[[#This Row],[feature_usage_pct]]&lt;30,"High Risk",IF(subscriptions[[#This Row],[feature_usage_pct]]&lt;60,"Medium Risk","Low Risk"))</f>
        <v>Medium Risk</v>
      </c>
      <c r="V250">
        <f ca="1">subscriptions[[#This Row],[CLV]]/200</f>
        <v>3.4562499999999998</v>
      </c>
    </row>
    <row r="251" spans="1:22" x14ac:dyDescent="0.25">
      <c r="A251" t="s">
        <v>304</v>
      </c>
      <c r="B251" t="s">
        <v>36</v>
      </c>
      <c r="C251" t="s">
        <v>19</v>
      </c>
      <c r="D251" t="s">
        <v>62</v>
      </c>
      <c r="E251" s="2" t="s">
        <v>664</v>
      </c>
      <c r="F251">
        <v>1</v>
      </c>
      <c r="G251">
        <v>199</v>
      </c>
      <c r="H251" t="s">
        <v>43</v>
      </c>
      <c r="I251" t="s">
        <v>23</v>
      </c>
      <c r="J251" s="1">
        <v>45944</v>
      </c>
      <c r="K251" t="s">
        <v>26</v>
      </c>
      <c r="N251">
        <v>1</v>
      </c>
      <c r="O251">
        <v>10</v>
      </c>
      <c r="P251">
        <v>69</v>
      </c>
      <c r="Q251" t="s">
        <v>26</v>
      </c>
      <c r="R251">
        <f>IF(subscriptions[[#This Row],[churned]]="Yes",1,0)</f>
        <v>0</v>
      </c>
      <c r="S251">
        <f ca="1">IF(subscriptions[[#This Row],[churn_flag]]=1, DATEDIF(subscriptions[[#This Row],[signup_date]],subscriptions[[#This Row],[churn_date]],"M"), DATEDIF(subscriptions[[#This Row],[signup_date]],TODAY(),"M"))</f>
        <v>6</v>
      </c>
      <c r="T251">
        <f ca="1">subscriptions[[#This Row],[monthly_revenue]]*subscriptions[[#This Row],[customer_lifetime]]</f>
        <v>1194</v>
      </c>
      <c r="U251" t="str">
        <f>IF(subscriptions[[#This Row],[feature_usage_pct]]&lt;30,"High Risk",IF(subscriptions[[#This Row],[feature_usage_pct]]&lt;60,"Medium Risk","Low Risk"))</f>
        <v>Low Risk</v>
      </c>
      <c r="V251">
        <f ca="1">subscriptions[[#This Row],[CLV]]/200</f>
        <v>5.97</v>
      </c>
    </row>
    <row r="252" spans="1:22" x14ac:dyDescent="0.25">
      <c r="A252" t="s">
        <v>305</v>
      </c>
      <c r="B252" t="s">
        <v>31</v>
      </c>
      <c r="C252" t="s">
        <v>28</v>
      </c>
      <c r="D252" t="s">
        <v>68</v>
      </c>
      <c r="E252" s="2" t="s">
        <v>663</v>
      </c>
      <c r="F252">
        <v>31</v>
      </c>
      <c r="G252">
        <v>135.57</v>
      </c>
      <c r="H252" t="s">
        <v>34</v>
      </c>
      <c r="I252" t="s">
        <v>38</v>
      </c>
      <c r="J252" s="1">
        <v>44832</v>
      </c>
      <c r="K252" t="s">
        <v>24</v>
      </c>
      <c r="L252" s="1">
        <v>45669</v>
      </c>
      <c r="M252" t="s">
        <v>25</v>
      </c>
      <c r="N252">
        <v>0</v>
      </c>
      <c r="O252">
        <v>6</v>
      </c>
      <c r="P252">
        <v>40</v>
      </c>
      <c r="Q252" t="s">
        <v>26</v>
      </c>
      <c r="R252">
        <f>IF(subscriptions[[#This Row],[churned]]="Yes",1,0)</f>
        <v>1</v>
      </c>
      <c r="S252">
        <f ca="1">IF(subscriptions[[#This Row],[churn_flag]]=1, DATEDIF(subscriptions[[#This Row],[signup_date]],subscriptions[[#This Row],[churn_date]],"M"), DATEDIF(subscriptions[[#This Row],[signup_date]],TODAY(),"M"))</f>
        <v>27</v>
      </c>
      <c r="T252">
        <f ca="1">subscriptions[[#This Row],[monthly_revenue]]*subscriptions[[#This Row],[customer_lifetime]]</f>
        <v>3660.39</v>
      </c>
      <c r="U252" t="str">
        <f>IF(subscriptions[[#This Row],[feature_usage_pct]]&lt;30,"High Risk",IF(subscriptions[[#This Row],[feature_usage_pct]]&lt;60,"Medium Risk","Low Risk"))</f>
        <v>Medium Risk</v>
      </c>
      <c r="V252">
        <f ca="1">subscriptions[[#This Row],[CLV]]/200</f>
        <v>18.301949999999998</v>
      </c>
    </row>
    <row r="253" spans="1:22" x14ac:dyDescent="0.25">
      <c r="A253" t="s">
        <v>306</v>
      </c>
      <c r="B253" t="s">
        <v>36</v>
      </c>
      <c r="C253" t="s">
        <v>28</v>
      </c>
      <c r="D253" t="s">
        <v>68</v>
      </c>
      <c r="E253" s="2" t="s">
        <v>663</v>
      </c>
      <c r="F253">
        <v>19</v>
      </c>
      <c r="G253">
        <v>625.86</v>
      </c>
      <c r="H253" t="s">
        <v>98</v>
      </c>
      <c r="I253" t="s">
        <v>23</v>
      </c>
      <c r="J253" s="1">
        <v>45424</v>
      </c>
      <c r="K253" t="s">
        <v>24</v>
      </c>
      <c r="L253" s="1">
        <v>45949</v>
      </c>
      <c r="M253" t="s">
        <v>46</v>
      </c>
      <c r="N253">
        <v>15</v>
      </c>
      <c r="O253">
        <v>2</v>
      </c>
      <c r="P253">
        <v>47</v>
      </c>
      <c r="Q253" t="s">
        <v>26</v>
      </c>
      <c r="R253">
        <f>IF(subscriptions[[#This Row],[churned]]="Yes",1,0)</f>
        <v>1</v>
      </c>
      <c r="S253">
        <f ca="1">IF(subscriptions[[#This Row],[churn_flag]]=1, DATEDIF(subscriptions[[#This Row],[signup_date]],subscriptions[[#This Row],[churn_date]],"M"), DATEDIF(subscriptions[[#This Row],[signup_date]],TODAY(),"M"))</f>
        <v>17</v>
      </c>
      <c r="T253">
        <f ca="1">subscriptions[[#This Row],[monthly_revenue]]*subscriptions[[#This Row],[customer_lifetime]]</f>
        <v>10639.62</v>
      </c>
      <c r="U253" t="str">
        <f>IF(subscriptions[[#This Row],[feature_usage_pct]]&lt;30,"High Risk",IF(subscriptions[[#This Row],[feature_usage_pct]]&lt;60,"Medium Risk","Low Risk"))</f>
        <v>Medium Risk</v>
      </c>
      <c r="V253">
        <f ca="1">subscriptions[[#This Row],[CLV]]/200</f>
        <v>53.198100000000004</v>
      </c>
    </row>
    <row r="254" spans="1:22" x14ac:dyDescent="0.25">
      <c r="A254" t="s">
        <v>307</v>
      </c>
      <c r="B254" t="s">
        <v>18</v>
      </c>
      <c r="C254" t="s">
        <v>19</v>
      </c>
      <c r="D254" t="s">
        <v>68</v>
      </c>
      <c r="E254" s="2" t="s">
        <v>663</v>
      </c>
      <c r="F254">
        <v>32</v>
      </c>
      <c r="G254">
        <v>446.35</v>
      </c>
      <c r="H254" t="s">
        <v>22</v>
      </c>
      <c r="I254" t="s">
        <v>23</v>
      </c>
      <c r="J254" s="1">
        <v>44894</v>
      </c>
      <c r="K254" t="s">
        <v>24</v>
      </c>
      <c r="L254" s="1">
        <v>45304</v>
      </c>
      <c r="M254" t="s">
        <v>56</v>
      </c>
      <c r="N254">
        <v>7</v>
      </c>
      <c r="O254">
        <v>1</v>
      </c>
      <c r="P254">
        <v>20</v>
      </c>
      <c r="Q254" t="s">
        <v>26</v>
      </c>
      <c r="R254">
        <f>IF(subscriptions[[#This Row],[churned]]="Yes",1,0)</f>
        <v>1</v>
      </c>
      <c r="S254">
        <f ca="1">IF(subscriptions[[#This Row],[churn_flag]]=1, DATEDIF(subscriptions[[#This Row],[signup_date]],subscriptions[[#This Row],[churn_date]],"M"), DATEDIF(subscriptions[[#This Row],[signup_date]],TODAY(),"M"))</f>
        <v>13</v>
      </c>
      <c r="T254">
        <f ca="1">subscriptions[[#This Row],[monthly_revenue]]*subscriptions[[#This Row],[customer_lifetime]]</f>
        <v>5802.55</v>
      </c>
      <c r="U254" t="str">
        <f>IF(subscriptions[[#This Row],[feature_usage_pct]]&lt;30,"High Risk",IF(subscriptions[[#This Row],[feature_usage_pct]]&lt;60,"Medium Risk","Low Risk"))</f>
        <v>High Risk</v>
      </c>
      <c r="V254">
        <f ca="1">subscriptions[[#This Row],[CLV]]/200</f>
        <v>29.01275</v>
      </c>
    </row>
    <row r="255" spans="1:22" x14ac:dyDescent="0.25">
      <c r="A255" t="s">
        <v>308</v>
      </c>
      <c r="B255" t="s">
        <v>31</v>
      </c>
      <c r="C255" t="s">
        <v>28</v>
      </c>
      <c r="D255" t="s">
        <v>49</v>
      </c>
      <c r="E255" s="2" t="s">
        <v>663</v>
      </c>
      <c r="F255">
        <v>12</v>
      </c>
      <c r="G255">
        <v>65.319999999999993</v>
      </c>
      <c r="H255" t="s">
        <v>22</v>
      </c>
      <c r="I255" t="s">
        <v>38</v>
      </c>
      <c r="J255" s="1">
        <v>45795</v>
      </c>
      <c r="K255" t="s">
        <v>26</v>
      </c>
      <c r="N255">
        <v>0</v>
      </c>
      <c r="O255">
        <v>9</v>
      </c>
      <c r="P255">
        <v>50</v>
      </c>
      <c r="Q255" t="s">
        <v>24</v>
      </c>
      <c r="R255">
        <f>IF(subscriptions[[#This Row],[churned]]="Yes",1,0)</f>
        <v>0</v>
      </c>
      <c r="S255">
        <f ca="1">IF(subscriptions[[#This Row],[churn_flag]]=1, DATEDIF(subscriptions[[#This Row],[signup_date]],subscriptions[[#This Row],[churn_date]],"M"), DATEDIF(subscriptions[[#This Row],[signup_date]],TODAY(),"M"))</f>
        <v>11</v>
      </c>
      <c r="T255">
        <f ca="1">subscriptions[[#This Row],[monthly_revenue]]*subscriptions[[#This Row],[customer_lifetime]]</f>
        <v>718.52</v>
      </c>
      <c r="U255" t="str">
        <f>IF(subscriptions[[#This Row],[feature_usage_pct]]&lt;30,"High Risk",IF(subscriptions[[#This Row],[feature_usage_pct]]&lt;60,"Medium Risk","Low Risk"))</f>
        <v>Medium Risk</v>
      </c>
      <c r="V255">
        <f ca="1">subscriptions[[#This Row],[CLV]]/200</f>
        <v>3.5926</v>
      </c>
    </row>
    <row r="256" spans="1:22" x14ac:dyDescent="0.25">
      <c r="A256" t="s">
        <v>309</v>
      </c>
      <c r="B256" t="s">
        <v>36</v>
      </c>
      <c r="C256" t="s">
        <v>19</v>
      </c>
      <c r="D256" t="s">
        <v>37</v>
      </c>
      <c r="E256" s="2" t="s">
        <v>664</v>
      </c>
      <c r="F256">
        <v>1</v>
      </c>
      <c r="G256">
        <v>199</v>
      </c>
      <c r="H256" t="s">
        <v>22</v>
      </c>
      <c r="I256" t="s">
        <v>38</v>
      </c>
      <c r="J256" s="1">
        <v>44645</v>
      </c>
      <c r="K256" t="s">
        <v>24</v>
      </c>
      <c r="L256" s="1">
        <v>44671</v>
      </c>
      <c r="M256" t="s">
        <v>53</v>
      </c>
      <c r="N256">
        <v>14</v>
      </c>
      <c r="O256">
        <v>5</v>
      </c>
      <c r="P256">
        <v>28</v>
      </c>
      <c r="Q256" t="s">
        <v>26</v>
      </c>
      <c r="R256">
        <f>IF(subscriptions[[#This Row],[churned]]="Yes",1,0)</f>
        <v>1</v>
      </c>
      <c r="S256">
        <f ca="1">IF(subscriptions[[#This Row],[churn_flag]]=1, DATEDIF(subscriptions[[#This Row],[signup_date]],subscriptions[[#This Row],[churn_date]],"M"), DATEDIF(subscriptions[[#This Row],[signup_date]],TODAY(),"M"))</f>
        <v>0</v>
      </c>
      <c r="T256">
        <f ca="1">subscriptions[[#This Row],[monthly_revenue]]*subscriptions[[#This Row],[customer_lifetime]]</f>
        <v>0</v>
      </c>
      <c r="U256" t="str">
        <f>IF(subscriptions[[#This Row],[feature_usage_pct]]&lt;30,"High Risk",IF(subscriptions[[#This Row],[feature_usage_pct]]&lt;60,"Medium Risk","Low Risk"))</f>
        <v>High Risk</v>
      </c>
      <c r="V256">
        <f ca="1">subscriptions[[#This Row],[CLV]]/200</f>
        <v>0</v>
      </c>
    </row>
    <row r="257" spans="1:22" x14ac:dyDescent="0.25">
      <c r="A257" t="s">
        <v>310</v>
      </c>
      <c r="B257" t="s">
        <v>36</v>
      </c>
      <c r="C257" t="s">
        <v>19</v>
      </c>
      <c r="D257" t="s">
        <v>62</v>
      </c>
      <c r="E257" s="2" t="s">
        <v>663</v>
      </c>
      <c r="F257">
        <v>7</v>
      </c>
      <c r="G257">
        <v>378.1</v>
      </c>
      <c r="H257" t="s">
        <v>22</v>
      </c>
      <c r="I257" t="s">
        <v>23</v>
      </c>
      <c r="J257" s="1">
        <v>44992</v>
      </c>
      <c r="K257" t="s">
        <v>26</v>
      </c>
      <c r="N257">
        <v>10</v>
      </c>
      <c r="O257">
        <v>10</v>
      </c>
      <c r="P257">
        <v>58</v>
      </c>
      <c r="Q257" t="s">
        <v>24</v>
      </c>
      <c r="R257">
        <f>IF(subscriptions[[#This Row],[churned]]="Yes",1,0)</f>
        <v>0</v>
      </c>
      <c r="S257">
        <f ca="1">IF(subscriptions[[#This Row],[churn_flag]]=1, DATEDIF(subscriptions[[#This Row],[signup_date]],subscriptions[[#This Row],[churn_date]],"M"), DATEDIF(subscriptions[[#This Row],[signup_date]],TODAY(),"M"))</f>
        <v>38</v>
      </c>
      <c r="T257">
        <f ca="1">subscriptions[[#This Row],[monthly_revenue]]*subscriptions[[#This Row],[customer_lifetime]]</f>
        <v>14367.800000000001</v>
      </c>
      <c r="U257" t="str">
        <f>IF(subscriptions[[#This Row],[feature_usage_pct]]&lt;30,"High Risk",IF(subscriptions[[#This Row],[feature_usage_pct]]&lt;60,"Medium Risk","Low Risk"))</f>
        <v>Medium Risk</v>
      </c>
      <c r="V257">
        <f ca="1">subscriptions[[#This Row],[CLV]]/200</f>
        <v>71.838999999999999</v>
      </c>
    </row>
    <row r="258" spans="1:22" x14ac:dyDescent="0.25">
      <c r="A258" t="s">
        <v>311</v>
      </c>
      <c r="B258" t="s">
        <v>31</v>
      </c>
      <c r="C258" t="s">
        <v>28</v>
      </c>
      <c r="D258" t="s">
        <v>20</v>
      </c>
      <c r="E258" s="2" t="s">
        <v>33</v>
      </c>
      <c r="F258">
        <v>285</v>
      </c>
      <c r="G258">
        <v>1074.74</v>
      </c>
      <c r="H258" t="s">
        <v>98</v>
      </c>
      <c r="I258" t="s">
        <v>23</v>
      </c>
      <c r="J258" s="1">
        <v>45562</v>
      </c>
      <c r="K258" t="s">
        <v>26</v>
      </c>
      <c r="N258">
        <v>2</v>
      </c>
      <c r="O258">
        <v>9</v>
      </c>
      <c r="P258">
        <v>91</v>
      </c>
      <c r="Q258" t="s">
        <v>24</v>
      </c>
      <c r="R258">
        <f>IF(subscriptions[[#This Row],[churned]]="Yes",1,0)</f>
        <v>0</v>
      </c>
      <c r="S258">
        <f ca="1">IF(subscriptions[[#This Row],[churn_flag]]=1, DATEDIF(subscriptions[[#This Row],[signup_date]],subscriptions[[#This Row],[churn_date]],"M"), DATEDIF(subscriptions[[#This Row],[signup_date]],TODAY(),"M"))</f>
        <v>19</v>
      </c>
      <c r="T258">
        <f ca="1">subscriptions[[#This Row],[monthly_revenue]]*subscriptions[[#This Row],[customer_lifetime]]</f>
        <v>20420.060000000001</v>
      </c>
      <c r="U258" t="str">
        <f>IF(subscriptions[[#This Row],[feature_usage_pct]]&lt;30,"High Risk",IF(subscriptions[[#This Row],[feature_usage_pct]]&lt;60,"Medium Risk","Low Risk"))</f>
        <v>Low Risk</v>
      </c>
      <c r="V258">
        <f ca="1">subscriptions[[#This Row],[CLV]]/200</f>
        <v>102.1003</v>
      </c>
    </row>
    <row r="259" spans="1:22" x14ac:dyDescent="0.25">
      <c r="A259" t="s">
        <v>312</v>
      </c>
      <c r="B259" t="s">
        <v>31</v>
      </c>
      <c r="C259" t="s">
        <v>28</v>
      </c>
      <c r="D259" t="s">
        <v>37</v>
      </c>
      <c r="E259" s="2" t="s">
        <v>21</v>
      </c>
      <c r="F259">
        <v>31</v>
      </c>
      <c r="G259">
        <v>135.57</v>
      </c>
      <c r="H259" t="s">
        <v>43</v>
      </c>
      <c r="I259" t="s">
        <v>38</v>
      </c>
      <c r="J259" s="1">
        <v>44670</v>
      </c>
      <c r="K259" t="s">
        <v>24</v>
      </c>
      <c r="L259" s="1">
        <v>45400</v>
      </c>
      <c r="M259" t="s">
        <v>63</v>
      </c>
      <c r="N259">
        <v>4</v>
      </c>
      <c r="O259">
        <v>5</v>
      </c>
      <c r="P259">
        <v>36</v>
      </c>
      <c r="Q259" t="s">
        <v>26</v>
      </c>
      <c r="R259">
        <f>IF(subscriptions[[#This Row],[churned]]="Yes",1,0)</f>
        <v>1</v>
      </c>
      <c r="S259">
        <f ca="1">IF(subscriptions[[#This Row],[churn_flag]]=1, DATEDIF(subscriptions[[#This Row],[signup_date]],subscriptions[[#This Row],[churn_date]],"M"), DATEDIF(subscriptions[[#This Row],[signup_date]],TODAY(),"M"))</f>
        <v>23</v>
      </c>
      <c r="T259">
        <f ca="1">subscriptions[[#This Row],[monthly_revenue]]*subscriptions[[#This Row],[customer_lifetime]]</f>
        <v>3118.1099999999997</v>
      </c>
      <c r="U259" t="str">
        <f>IF(subscriptions[[#This Row],[feature_usage_pct]]&lt;30,"High Risk",IF(subscriptions[[#This Row],[feature_usage_pct]]&lt;60,"Medium Risk","Low Risk"))</f>
        <v>Medium Risk</v>
      </c>
      <c r="V259">
        <f ca="1">subscriptions[[#This Row],[CLV]]/200</f>
        <v>15.590549999999999</v>
      </c>
    </row>
    <row r="260" spans="1:22" x14ac:dyDescent="0.25">
      <c r="A260" t="s">
        <v>313</v>
      </c>
      <c r="B260" t="s">
        <v>18</v>
      </c>
      <c r="C260" t="s">
        <v>28</v>
      </c>
      <c r="D260" t="s">
        <v>49</v>
      </c>
      <c r="E260" s="2" t="s">
        <v>45</v>
      </c>
      <c r="F260">
        <v>143</v>
      </c>
      <c r="G260">
        <v>1497.45</v>
      </c>
      <c r="H260" t="s">
        <v>34</v>
      </c>
      <c r="I260" t="s">
        <v>55</v>
      </c>
      <c r="J260" s="1">
        <v>45840</v>
      </c>
      <c r="K260" t="s">
        <v>26</v>
      </c>
      <c r="N260">
        <v>3</v>
      </c>
      <c r="O260">
        <v>1</v>
      </c>
      <c r="P260">
        <v>84</v>
      </c>
      <c r="Q260" t="s">
        <v>26</v>
      </c>
      <c r="R260">
        <f>IF(subscriptions[[#This Row],[churned]]="Yes",1,0)</f>
        <v>0</v>
      </c>
      <c r="S260">
        <f ca="1">IF(subscriptions[[#This Row],[churn_flag]]=1, DATEDIF(subscriptions[[#This Row],[signup_date]],subscriptions[[#This Row],[churn_date]],"M"), DATEDIF(subscriptions[[#This Row],[signup_date]],TODAY(),"M"))</f>
        <v>10</v>
      </c>
      <c r="T260">
        <f ca="1">subscriptions[[#This Row],[monthly_revenue]]*subscriptions[[#This Row],[customer_lifetime]]</f>
        <v>14974.5</v>
      </c>
      <c r="U260" t="str">
        <f>IF(subscriptions[[#This Row],[feature_usage_pct]]&lt;30,"High Risk",IF(subscriptions[[#This Row],[feature_usage_pct]]&lt;60,"Medium Risk","Low Risk"))</f>
        <v>Low Risk</v>
      </c>
      <c r="V260">
        <f ca="1">subscriptions[[#This Row],[CLV]]/200</f>
        <v>74.872500000000002</v>
      </c>
    </row>
    <row r="261" spans="1:22" x14ac:dyDescent="0.25">
      <c r="A261" t="s">
        <v>314</v>
      </c>
      <c r="B261" t="s">
        <v>18</v>
      </c>
      <c r="C261" t="s">
        <v>19</v>
      </c>
      <c r="D261" t="s">
        <v>37</v>
      </c>
      <c r="E261" s="2" t="s">
        <v>33</v>
      </c>
      <c r="F261">
        <v>193</v>
      </c>
      <c r="G261">
        <v>2354.1999999999998</v>
      </c>
      <c r="H261" t="s">
        <v>22</v>
      </c>
      <c r="I261" t="s">
        <v>23</v>
      </c>
      <c r="J261" s="1">
        <v>45137</v>
      </c>
      <c r="K261" t="s">
        <v>24</v>
      </c>
      <c r="L261" s="1">
        <v>45693</v>
      </c>
      <c r="M261" t="s">
        <v>50</v>
      </c>
      <c r="N261">
        <v>3</v>
      </c>
      <c r="O261">
        <v>3</v>
      </c>
      <c r="P261">
        <v>39</v>
      </c>
      <c r="Q261" t="s">
        <v>26</v>
      </c>
      <c r="R261">
        <f>IF(subscriptions[[#This Row],[churned]]="Yes",1,0)</f>
        <v>1</v>
      </c>
      <c r="S261">
        <f ca="1">IF(subscriptions[[#This Row],[churn_flag]]=1, DATEDIF(subscriptions[[#This Row],[signup_date]],subscriptions[[#This Row],[churn_date]],"M"), DATEDIF(subscriptions[[#This Row],[signup_date]],TODAY(),"M"))</f>
        <v>18</v>
      </c>
      <c r="T261">
        <f ca="1">subscriptions[[#This Row],[monthly_revenue]]*subscriptions[[#This Row],[customer_lifetime]]</f>
        <v>42375.6</v>
      </c>
      <c r="U261" t="str">
        <f>IF(subscriptions[[#This Row],[feature_usage_pct]]&lt;30,"High Risk",IF(subscriptions[[#This Row],[feature_usage_pct]]&lt;60,"Medium Risk","Low Risk"))</f>
        <v>Medium Risk</v>
      </c>
      <c r="V261">
        <f ca="1">subscriptions[[#This Row],[CLV]]/200</f>
        <v>211.87799999999999</v>
      </c>
    </row>
    <row r="262" spans="1:22" x14ac:dyDescent="0.25">
      <c r="A262" t="s">
        <v>315</v>
      </c>
      <c r="B262" t="s">
        <v>18</v>
      </c>
      <c r="C262" t="s">
        <v>28</v>
      </c>
      <c r="D262" t="s">
        <v>68</v>
      </c>
      <c r="E262" s="2" t="s">
        <v>664</v>
      </c>
      <c r="F262">
        <v>5</v>
      </c>
      <c r="G262">
        <v>107.44</v>
      </c>
      <c r="H262" t="s">
        <v>22</v>
      </c>
      <c r="I262" t="s">
        <v>23</v>
      </c>
      <c r="J262" s="1">
        <v>45543</v>
      </c>
      <c r="K262" t="s">
        <v>26</v>
      </c>
      <c r="N262">
        <v>1</v>
      </c>
      <c r="O262">
        <v>9</v>
      </c>
      <c r="P262">
        <v>95</v>
      </c>
      <c r="Q262" t="s">
        <v>26</v>
      </c>
      <c r="R262">
        <f>IF(subscriptions[[#This Row],[churned]]="Yes",1,0)</f>
        <v>0</v>
      </c>
      <c r="S262">
        <f ca="1">IF(subscriptions[[#This Row],[churn_flag]]=1, DATEDIF(subscriptions[[#This Row],[signup_date]],subscriptions[[#This Row],[churn_date]],"M"), DATEDIF(subscriptions[[#This Row],[signup_date]],TODAY(),"M"))</f>
        <v>20</v>
      </c>
      <c r="T262">
        <f ca="1">subscriptions[[#This Row],[monthly_revenue]]*subscriptions[[#This Row],[customer_lifetime]]</f>
        <v>2148.8000000000002</v>
      </c>
      <c r="U262" t="str">
        <f>IF(subscriptions[[#This Row],[feature_usage_pct]]&lt;30,"High Risk",IF(subscriptions[[#This Row],[feature_usage_pct]]&lt;60,"Medium Risk","Low Risk"))</f>
        <v>Low Risk</v>
      </c>
      <c r="V262">
        <f ca="1">subscriptions[[#This Row],[CLV]]/200</f>
        <v>10.744000000000002</v>
      </c>
    </row>
    <row r="263" spans="1:22" x14ac:dyDescent="0.25">
      <c r="A263" t="s">
        <v>316</v>
      </c>
      <c r="B263" t="s">
        <v>36</v>
      </c>
      <c r="C263" t="s">
        <v>19</v>
      </c>
      <c r="D263" t="s">
        <v>40</v>
      </c>
      <c r="E263" s="2" t="s">
        <v>664</v>
      </c>
      <c r="F263">
        <v>8</v>
      </c>
      <c r="G263">
        <v>407.95</v>
      </c>
      <c r="H263" t="s">
        <v>34</v>
      </c>
      <c r="I263" t="s">
        <v>23</v>
      </c>
      <c r="J263" s="1">
        <v>45327</v>
      </c>
      <c r="K263" t="s">
        <v>24</v>
      </c>
      <c r="L263" s="1">
        <v>45791</v>
      </c>
      <c r="M263" t="s">
        <v>53</v>
      </c>
      <c r="N263">
        <v>14</v>
      </c>
      <c r="O263">
        <v>6</v>
      </c>
      <c r="P263">
        <v>19</v>
      </c>
      <c r="Q263" t="s">
        <v>26</v>
      </c>
      <c r="R263">
        <f>IF(subscriptions[[#This Row],[churned]]="Yes",1,0)</f>
        <v>1</v>
      </c>
      <c r="S263">
        <f ca="1">IF(subscriptions[[#This Row],[churn_flag]]=1, DATEDIF(subscriptions[[#This Row],[signup_date]],subscriptions[[#This Row],[churn_date]],"M"), DATEDIF(subscriptions[[#This Row],[signup_date]],TODAY(),"M"))</f>
        <v>15</v>
      </c>
      <c r="T263">
        <f ca="1">subscriptions[[#This Row],[monthly_revenue]]*subscriptions[[#This Row],[customer_lifetime]]</f>
        <v>6119.25</v>
      </c>
      <c r="U263" t="str">
        <f>IF(subscriptions[[#This Row],[feature_usage_pct]]&lt;30,"High Risk",IF(subscriptions[[#This Row],[feature_usage_pct]]&lt;60,"Medium Risk","Low Risk"))</f>
        <v>High Risk</v>
      </c>
      <c r="V263">
        <f ca="1">subscriptions[[#This Row],[CLV]]/200</f>
        <v>30.596250000000001</v>
      </c>
    </row>
    <row r="264" spans="1:22" x14ac:dyDescent="0.25">
      <c r="A264" t="s">
        <v>317</v>
      </c>
      <c r="B264" t="s">
        <v>36</v>
      </c>
      <c r="C264" t="s">
        <v>28</v>
      </c>
      <c r="D264" t="s">
        <v>52</v>
      </c>
      <c r="E264" s="2" t="s">
        <v>663</v>
      </c>
      <c r="F264">
        <v>8</v>
      </c>
      <c r="G264">
        <v>346.76</v>
      </c>
      <c r="H264" t="s">
        <v>34</v>
      </c>
      <c r="I264" t="s">
        <v>38</v>
      </c>
      <c r="J264" s="1">
        <v>45877</v>
      </c>
      <c r="K264" t="s">
        <v>26</v>
      </c>
      <c r="N264">
        <v>3</v>
      </c>
      <c r="O264">
        <v>6</v>
      </c>
      <c r="P264">
        <v>43</v>
      </c>
      <c r="Q264" t="s">
        <v>26</v>
      </c>
      <c r="R264">
        <f>IF(subscriptions[[#This Row],[churned]]="Yes",1,0)</f>
        <v>0</v>
      </c>
      <c r="S264">
        <f ca="1">IF(subscriptions[[#This Row],[churn_flag]]=1, DATEDIF(subscriptions[[#This Row],[signup_date]],subscriptions[[#This Row],[churn_date]],"M"), DATEDIF(subscriptions[[#This Row],[signup_date]],TODAY(),"M"))</f>
        <v>9</v>
      </c>
      <c r="T264">
        <f ca="1">subscriptions[[#This Row],[monthly_revenue]]*subscriptions[[#This Row],[customer_lifetime]]</f>
        <v>3120.84</v>
      </c>
      <c r="U264" t="str">
        <f>IF(subscriptions[[#This Row],[feature_usage_pct]]&lt;30,"High Risk",IF(subscriptions[[#This Row],[feature_usage_pct]]&lt;60,"Medium Risk","Low Risk"))</f>
        <v>Medium Risk</v>
      </c>
      <c r="V264">
        <f ca="1">subscriptions[[#This Row],[CLV]]/200</f>
        <v>15.604200000000001</v>
      </c>
    </row>
    <row r="265" spans="1:22" x14ac:dyDescent="0.25">
      <c r="A265" t="s">
        <v>318</v>
      </c>
      <c r="B265" t="s">
        <v>31</v>
      </c>
      <c r="C265" t="s">
        <v>19</v>
      </c>
      <c r="D265" t="s">
        <v>49</v>
      </c>
      <c r="E265" s="2" t="s">
        <v>21</v>
      </c>
      <c r="F265">
        <v>52</v>
      </c>
      <c r="G265">
        <v>250.85</v>
      </c>
      <c r="H265" t="s">
        <v>22</v>
      </c>
      <c r="I265" t="s">
        <v>23</v>
      </c>
      <c r="J265" s="1">
        <v>45702</v>
      </c>
      <c r="K265" t="s">
        <v>26</v>
      </c>
      <c r="N265">
        <v>2</v>
      </c>
      <c r="O265">
        <v>7</v>
      </c>
      <c r="P265">
        <v>42</v>
      </c>
      <c r="Q265" t="s">
        <v>26</v>
      </c>
      <c r="R265">
        <f>IF(subscriptions[[#This Row],[churned]]="Yes",1,0)</f>
        <v>0</v>
      </c>
      <c r="S265">
        <f ca="1">IF(subscriptions[[#This Row],[churn_flag]]=1, DATEDIF(subscriptions[[#This Row],[signup_date]],subscriptions[[#This Row],[churn_date]],"M"), DATEDIF(subscriptions[[#This Row],[signup_date]],TODAY(),"M"))</f>
        <v>14</v>
      </c>
      <c r="T265">
        <f ca="1">subscriptions[[#This Row],[monthly_revenue]]*subscriptions[[#This Row],[customer_lifetime]]</f>
        <v>3511.9</v>
      </c>
      <c r="U265" t="str">
        <f>IF(subscriptions[[#This Row],[feature_usage_pct]]&lt;30,"High Risk",IF(subscriptions[[#This Row],[feature_usage_pct]]&lt;60,"Medium Risk","Low Risk"))</f>
        <v>Medium Risk</v>
      </c>
      <c r="V265">
        <f ca="1">subscriptions[[#This Row],[CLV]]/200</f>
        <v>17.5595</v>
      </c>
    </row>
    <row r="266" spans="1:22" x14ac:dyDescent="0.25">
      <c r="A266" t="s">
        <v>319</v>
      </c>
      <c r="B266" t="s">
        <v>18</v>
      </c>
      <c r="C266" t="s">
        <v>19</v>
      </c>
      <c r="D266" t="s">
        <v>40</v>
      </c>
      <c r="E266" s="2" t="s">
        <v>21</v>
      </c>
      <c r="F266">
        <v>45</v>
      </c>
      <c r="G266">
        <v>600.4</v>
      </c>
      <c r="H266" t="s">
        <v>60</v>
      </c>
      <c r="I266" t="s">
        <v>23</v>
      </c>
      <c r="J266" s="1">
        <v>45738</v>
      </c>
      <c r="K266" t="s">
        <v>26</v>
      </c>
      <c r="N266">
        <v>11</v>
      </c>
      <c r="O266">
        <v>1</v>
      </c>
      <c r="P266">
        <v>56</v>
      </c>
      <c r="Q266" t="s">
        <v>26</v>
      </c>
      <c r="R266">
        <f>IF(subscriptions[[#This Row],[churned]]="Yes",1,0)</f>
        <v>0</v>
      </c>
      <c r="S266">
        <f ca="1">IF(subscriptions[[#This Row],[churn_flag]]=1, DATEDIF(subscriptions[[#This Row],[signup_date]],subscriptions[[#This Row],[churn_date]],"M"), DATEDIF(subscriptions[[#This Row],[signup_date]],TODAY(),"M"))</f>
        <v>13</v>
      </c>
      <c r="T266">
        <f ca="1">subscriptions[[#This Row],[monthly_revenue]]*subscriptions[[#This Row],[customer_lifetime]]</f>
        <v>7805.2</v>
      </c>
      <c r="U266" t="str">
        <f>IF(subscriptions[[#This Row],[feature_usage_pct]]&lt;30,"High Risk",IF(subscriptions[[#This Row],[feature_usage_pct]]&lt;60,"Medium Risk","Low Risk"))</f>
        <v>Medium Risk</v>
      </c>
      <c r="V266">
        <f ca="1">subscriptions[[#This Row],[CLV]]/200</f>
        <v>39.025999999999996</v>
      </c>
    </row>
    <row r="267" spans="1:22" x14ac:dyDescent="0.25">
      <c r="A267" t="s">
        <v>320</v>
      </c>
      <c r="B267" t="s">
        <v>31</v>
      </c>
      <c r="C267" t="s">
        <v>28</v>
      </c>
      <c r="D267" t="s">
        <v>20</v>
      </c>
      <c r="E267" s="2" t="s">
        <v>663</v>
      </c>
      <c r="F267">
        <v>22</v>
      </c>
      <c r="G267">
        <v>102.3</v>
      </c>
      <c r="H267" t="s">
        <v>43</v>
      </c>
      <c r="I267" t="s">
        <v>23</v>
      </c>
      <c r="J267" s="1">
        <v>44665</v>
      </c>
      <c r="K267" t="s">
        <v>24</v>
      </c>
      <c r="L267" s="1">
        <v>44750</v>
      </c>
      <c r="M267" t="s">
        <v>53</v>
      </c>
      <c r="N267">
        <v>5</v>
      </c>
      <c r="O267">
        <v>4</v>
      </c>
      <c r="P267">
        <v>20</v>
      </c>
      <c r="Q267" t="s">
        <v>26</v>
      </c>
      <c r="R267">
        <f>IF(subscriptions[[#This Row],[churned]]="Yes",1,0)</f>
        <v>1</v>
      </c>
      <c r="S267">
        <f ca="1">IF(subscriptions[[#This Row],[churn_flag]]=1, DATEDIF(subscriptions[[#This Row],[signup_date]],subscriptions[[#This Row],[churn_date]],"M"), DATEDIF(subscriptions[[#This Row],[signup_date]],TODAY(),"M"))</f>
        <v>2</v>
      </c>
      <c r="T267">
        <f ca="1">subscriptions[[#This Row],[monthly_revenue]]*subscriptions[[#This Row],[customer_lifetime]]</f>
        <v>204.6</v>
      </c>
      <c r="U267" t="str">
        <f>IF(subscriptions[[#This Row],[feature_usage_pct]]&lt;30,"High Risk",IF(subscriptions[[#This Row],[feature_usage_pct]]&lt;60,"Medium Risk","Low Risk"))</f>
        <v>High Risk</v>
      </c>
      <c r="V267">
        <f ca="1">subscriptions[[#This Row],[CLV]]/200</f>
        <v>1.0229999999999999</v>
      </c>
    </row>
    <row r="268" spans="1:22" x14ac:dyDescent="0.25">
      <c r="A268" t="s">
        <v>321</v>
      </c>
      <c r="B268" t="s">
        <v>71</v>
      </c>
      <c r="C268" t="s">
        <v>19</v>
      </c>
      <c r="D268" t="s">
        <v>79</v>
      </c>
      <c r="E268" s="2" t="s">
        <v>664</v>
      </c>
      <c r="F268">
        <v>3</v>
      </c>
      <c r="G268">
        <v>648.70000000000005</v>
      </c>
      <c r="H268" t="s">
        <v>60</v>
      </c>
      <c r="I268" t="s">
        <v>55</v>
      </c>
      <c r="J268" s="1">
        <v>45053</v>
      </c>
      <c r="K268" t="s">
        <v>26</v>
      </c>
      <c r="N268">
        <v>3</v>
      </c>
      <c r="O268">
        <v>1</v>
      </c>
      <c r="P268">
        <v>41</v>
      </c>
      <c r="Q268" t="s">
        <v>26</v>
      </c>
      <c r="R268">
        <f>IF(subscriptions[[#This Row],[churned]]="Yes",1,0)</f>
        <v>0</v>
      </c>
      <c r="S268">
        <f ca="1">IF(subscriptions[[#This Row],[churn_flag]]=1, DATEDIF(subscriptions[[#This Row],[signup_date]],subscriptions[[#This Row],[churn_date]],"M"), DATEDIF(subscriptions[[#This Row],[signup_date]],TODAY(),"M"))</f>
        <v>36</v>
      </c>
      <c r="T268">
        <f ca="1">subscriptions[[#This Row],[monthly_revenue]]*subscriptions[[#This Row],[customer_lifetime]]</f>
        <v>23353.200000000001</v>
      </c>
      <c r="U268" t="str">
        <f>IF(subscriptions[[#This Row],[feature_usage_pct]]&lt;30,"High Risk",IF(subscriptions[[#This Row],[feature_usage_pct]]&lt;60,"Medium Risk","Low Risk"))</f>
        <v>Medium Risk</v>
      </c>
      <c r="V268">
        <f ca="1">subscriptions[[#This Row],[CLV]]/200</f>
        <v>116.76600000000001</v>
      </c>
    </row>
    <row r="269" spans="1:22" x14ac:dyDescent="0.25">
      <c r="A269" t="s">
        <v>322</v>
      </c>
      <c r="B269" t="s">
        <v>18</v>
      </c>
      <c r="C269" t="s">
        <v>28</v>
      </c>
      <c r="D269" t="s">
        <v>20</v>
      </c>
      <c r="E269" s="2" t="s">
        <v>45</v>
      </c>
      <c r="F269">
        <v>49</v>
      </c>
      <c r="G269">
        <v>550.63</v>
      </c>
      <c r="H269" t="s">
        <v>22</v>
      </c>
      <c r="I269" t="s">
        <v>23</v>
      </c>
      <c r="J269" s="1">
        <v>44830</v>
      </c>
      <c r="K269" t="s">
        <v>26</v>
      </c>
      <c r="N269">
        <v>12</v>
      </c>
      <c r="O269">
        <v>7</v>
      </c>
      <c r="P269">
        <v>46</v>
      </c>
      <c r="Q269" t="s">
        <v>26</v>
      </c>
      <c r="R269">
        <f>IF(subscriptions[[#This Row],[churned]]="Yes",1,0)</f>
        <v>0</v>
      </c>
      <c r="S269">
        <f ca="1">IF(subscriptions[[#This Row],[churn_flag]]=1, DATEDIF(subscriptions[[#This Row],[signup_date]],subscriptions[[#This Row],[churn_date]],"M"), DATEDIF(subscriptions[[#This Row],[signup_date]],TODAY(),"M"))</f>
        <v>43</v>
      </c>
      <c r="T269">
        <f ca="1">subscriptions[[#This Row],[monthly_revenue]]*subscriptions[[#This Row],[customer_lifetime]]</f>
        <v>23677.09</v>
      </c>
      <c r="U269" t="str">
        <f>IF(subscriptions[[#This Row],[feature_usage_pct]]&lt;30,"High Risk",IF(subscriptions[[#This Row],[feature_usage_pct]]&lt;60,"Medium Risk","Low Risk"))</f>
        <v>Medium Risk</v>
      </c>
      <c r="V269">
        <f ca="1">subscriptions[[#This Row],[CLV]]/200</f>
        <v>118.38545000000001</v>
      </c>
    </row>
    <row r="270" spans="1:22" x14ac:dyDescent="0.25">
      <c r="A270" t="s">
        <v>323</v>
      </c>
      <c r="B270" t="s">
        <v>18</v>
      </c>
      <c r="C270" t="s">
        <v>19</v>
      </c>
      <c r="D270" t="s">
        <v>79</v>
      </c>
      <c r="E270" s="2" t="s">
        <v>664</v>
      </c>
      <c r="F270">
        <v>3</v>
      </c>
      <c r="G270">
        <v>102.7</v>
      </c>
      <c r="H270" t="s">
        <v>98</v>
      </c>
      <c r="I270" t="s">
        <v>55</v>
      </c>
      <c r="J270" s="1">
        <v>45750</v>
      </c>
      <c r="K270" t="s">
        <v>24</v>
      </c>
      <c r="L270" s="1">
        <v>46002</v>
      </c>
      <c r="M270" t="s">
        <v>63</v>
      </c>
      <c r="N270">
        <v>3</v>
      </c>
      <c r="O270">
        <v>2</v>
      </c>
      <c r="P270">
        <v>20</v>
      </c>
      <c r="Q270" t="s">
        <v>26</v>
      </c>
      <c r="R270">
        <f>IF(subscriptions[[#This Row],[churned]]="Yes",1,0)</f>
        <v>1</v>
      </c>
      <c r="S270">
        <f ca="1">IF(subscriptions[[#This Row],[churn_flag]]=1, DATEDIF(subscriptions[[#This Row],[signup_date]],subscriptions[[#This Row],[churn_date]],"M"), DATEDIF(subscriptions[[#This Row],[signup_date]],TODAY(),"M"))</f>
        <v>8</v>
      </c>
      <c r="T270">
        <f ca="1">subscriptions[[#This Row],[monthly_revenue]]*subscriptions[[#This Row],[customer_lifetime]]</f>
        <v>821.6</v>
      </c>
      <c r="U270" t="str">
        <f>IF(subscriptions[[#This Row],[feature_usage_pct]]&lt;30,"High Risk",IF(subscriptions[[#This Row],[feature_usage_pct]]&lt;60,"Medium Risk","Low Risk"))</f>
        <v>High Risk</v>
      </c>
      <c r="V270">
        <f ca="1">subscriptions[[#This Row],[CLV]]/200</f>
        <v>4.1080000000000005</v>
      </c>
    </row>
    <row r="271" spans="1:22" x14ac:dyDescent="0.25">
      <c r="A271" t="s">
        <v>324</v>
      </c>
      <c r="B271" t="s">
        <v>18</v>
      </c>
      <c r="C271" t="s">
        <v>19</v>
      </c>
      <c r="D271" t="s">
        <v>49</v>
      </c>
      <c r="E271" s="2" t="s">
        <v>21</v>
      </c>
      <c r="F271">
        <v>66</v>
      </c>
      <c r="G271">
        <v>849.25</v>
      </c>
      <c r="H271" t="s">
        <v>43</v>
      </c>
      <c r="I271" t="s">
        <v>23</v>
      </c>
      <c r="J271" s="1">
        <v>44982</v>
      </c>
      <c r="K271" t="s">
        <v>24</v>
      </c>
      <c r="L271" s="1">
        <v>45872</v>
      </c>
      <c r="M271" t="s">
        <v>25</v>
      </c>
      <c r="N271">
        <v>6</v>
      </c>
      <c r="O271">
        <v>2</v>
      </c>
      <c r="P271">
        <v>37</v>
      </c>
      <c r="Q271" t="s">
        <v>26</v>
      </c>
      <c r="R271">
        <f>IF(subscriptions[[#This Row],[churned]]="Yes",1,0)</f>
        <v>1</v>
      </c>
      <c r="S271">
        <f ca="1">IF(subscriptions[[#This Row],[churn_flag]]=1, DATEDIF(subscriptions[[#This Row],[signup_date]],subscriptions[[#This Row],[churn_date]],"M"), DATEDIF(subscriptions[[#This Row],[signup_date]],TODAY(),"M"))</f>
        <v>29</v>
      </c>
      <c r="T271">
        <f ca="1">subscriptions[[#This Row],[monthly_revenue]]*subscriptions[[#This Row],[customer_lifetime]]</f>
        <v>24628.25</v>
      </c>
      <c r="U271" t="str">
        <f>IF(subscriptions[[#This Row],[feature_usage_pct]]&lt;30,"High Risk",IF(subscriptions[[#This Row],[feature_usage_pct]]&lt;60,"Medium Risk","Low Risk"))</f>
        <v>Medium Risk</v>
      </c>
      <c r="V271">
        <f ca="1">subscriptions[[#This Row],[CLV]]/200</f>
        <v>123.14125</v>
      </c>
    </row>
    <row r="272" spans="1:22" x14ac:dyDescent="0.25">
      <c r="A272" t="s">
        <v>325</v>
      </c>
      <c r="B272" t="s">
        <v>18</v>
      </c>
      <c r="C272" t="s">
        <v>19</v>
      </c>
      <c r="D272" t="s">
        <v>42</v>
      </c>
      <c r="E272" s="2" t="s">
        <v>663</v>
      </c>
      <c r="F272">
        <v>13</v>
      </c>
      <c r="G272">
        <v>221.2</v>
      </c>
      <c r="H272" t="s">
        <v>22</v>
      </c>
      <c r="I272" t="s">
        <v>23</v>
      </c>
      <c r="J272" s="1">
        <v>45712</v>
      </c>
      <c r="K272" t="s">
        <v>24</v>
      </c>
      <c r="L272" s="1">
        <v>45721</v>
      </c>
      <c r="M272" t="s">
        <v>56</v>
      </c>
      <c r="N272">
        <v>6</v>
      </c>
      <c r="O272">
        <v>4</v>
      </c>
      <c r="P272">
        <v>19</v>
      </c>
      <c r="Q272" t="s">
        <v>26</v>
      </c>
      <c r="R272">
        <f>IF(subscriptions[[#This Row],[churned]]="Yes",1,0)</f>
        <v>1</v>
      </c>
      <c r="S272">
        <f ca="1">IF(subscriptions[[#This Row],[churn_flag]]=1, DATEDIF(subscriptions[[#This Row],[signup_date]],subscriptions[[#This Row],[churn_date]],"M"), DATEDIF(subscriptions[[#This Row],[signup_date]],TODAY(),"M"))</f>
        <v>0</v>
      </c>
      <c r="T272">
        <f ca="1">subscriptions[[#This Row],[monthly_revenue]]*subscriptions[[#This Row],[customer_lifetime]]</f>
        <v>0</v>
      </c>
      <c r="U272" t="str">
        <f>IF(subscriptions[[#This Row],[feature_usage_pct]]&lt;30,"High Risk",IF(subscriptions[[#This Row],[feature_usage_pct]]&lt;60,"Medium Risk","Low Risk"))</f>
        <v>High Risk</v>
      </c>
      <c r="V272">
        <f ca="1">subscriptions[[#This Row],[CLV]]/200</f>
        <v>0</v>
      </c>
    </row>
    <row r="273" spans="1:22" x14ac:dyDescent="0.25">
      <c r="A273" t="s">
        <v>326</v>
      </c>
      <c r="B273" t="s">
        <v>31</v>
      </c>
      <c r="C273" t="s">
        <v>19</v>
      </c>
      <c r="D273" t="s">
        <v>68</v>
      </c>
      <c r="E273" s="2" t="s">
        <v>45</v>
      </c>
      <c r="F273">
        <v>103</v>
      </c>
      <c r="G273">
        <v>472.7</v>
      </c>
      <c r="H273" t="s">
        <v>34</v>
      </c>
      <c r="I273" t="s">
        <v>38</v>
      </c>
      <c r="J273" s="1">
        <v>45343</v>
      </c>
      <c r="K273" t="s">
        <v>24</v>
      </c>
      <c r="L273" s="1">
        <v>45439</v>
      </c>
      <c r="M273" t="s">
        <v>53</v>
      </c>
      <c r="N273">
        <v>11</v>
      </c>
      <c r="O273">
        <v>1</v>
      </c>
      <c r="P273">
        <v>14</v>
      </c>
      <c r="Q273" t="s">
        <v>26</v>
      </c>
      <c r="R273">
        <f>IF(subscriptions[[#This Row],[churned]]="Yes",1,0)</f>
        <v>1</v>
      </c>
      <c r="S273">
        <f ca="1">IF(subscriptions[[#This Row],[churn_flag]]=1, DATEDIF(subscriptions[[#This Row],[signup_date]],subscriptions[[#This Row],[churn_date]],"M"), DATEDIF(subscriptions[[#This Row],[signup_date]],TODAY(),"M"))</f>
        <v>3</v>
      </c>
      <c r="T273">
        <f ca="1">subscriptions[[#This Row],[monthly_revenue]]*subscriptions[[#This Row],[customer_lifetime]]</f>
        <v>1418.1</v>
      </c>
      <c r="U273" t="str">
        <f>IF(subscriptions[[#This Row],[feature_usage_pct]]&lt;30,"High Risk",IF(subscriptions[[#This Row],[feature_usage_pct]]&lt;60,"Medium Risk","Low Risk"))</f>
        <v>High Risk</v>
      </c>
      <c r="V273">
        <f ca="1">subscriptions[[#This Row],[CLV]]/200</f>
        <v>7.0904999999999996</v>
      </c>
    </row>
    <row r="274" spans="1:22" x14ac:dyDescent="0.25">
      <c r="A274" t="s">
        <v>327</v>
      </c>
      <c r="B274" t="s">
        <v>18</v>
      </c>
      <c r="C274" t="s">
        <v>28</v>
      </c>
      <c r="D274" t="s">
        <v>40</v>
      </c>
      <c r="E274" s="2" t="s">
        <v>664</v>
      </c>
      <c r="F274">
        <v>6</v>
      </c>
      <c r="G274">
        <v>117.51</v>
      </c>
      <c r="H274" t="s">
        <v>22</v>
      </c>
      <c r="I274" t="s">
        <v>69</v>
      </c>
      <c r="J274" s="1">
        <v>46022</v>
      </c>
      <c r="K274" t="s">
        <v>26</v>
      </c>
      <c r="N274">
        <v>2</v>
      </c>
      <c r="O274">
        <v>9</v>
      </c>
      <c r="P274">
        <v>20</v>
      </c>
      <c r="Q274" t="s">
        <v>26</v>
      </c>
      <c r="R274">
        <f>IF(subscriptions[[#This Row],[churned]]="Yes",1,0)</f>
        <v>0</v>
      </c>
      <c r="S274">
        <f ca="1">IF(subscriptions[[#This Row],[churn_flag]]=1, DATEDIF(subscriptions[[#This Row],[signup_date]],subscriptions[[#This Row],[churn_date]],"M"), DATEDIF(subscriptions[[#This Row],[signup_date]],TODAY(),"M"))</f>
        <v>4</v>
      </c>
      <c r="T274">
        <f ca="1">subscriptions[[#This Row],[monthly_revenue]]*subscriptions[[#This Row],[customer_lifetime]]</f>
        <v>470.04</v>
      </c>
      <c r="U274" t="str">
        <f>IF(subscriptions[[#This Row],[feature_usage_pct]]&lt;30,"High Risk",IF(subscriptions[[#This Row],[feature_usage_pct]]&lt;60,"Medium Risk","Low Risk"))</f>
        <v>High Risk</v>
      </c>
      <c r="V274">
        <f ca="1">subscriptions[[#This Row],[CLV]]/200</f>
        <v>2.3502000000000001</v>
      </c>
    </row>
    <row r="275" spans="1:22" x14ac:dyDescent="0.25">
      <c r="A275" t="s">
        <v>328</v>
      </c>
      <c r="B275" t="s">
        <v>18</v>
      </c>
      <c r="C275" t="s">
        <v>28</v>
      </c>
      <c r="D275" t="s">
        <v>32</v>
      </c>
      <c r="E275" s="2" t="s">
        <v>21</v>
      </c>
      <c r="F275">
        <v>41</v>
      </c>
      <c r="G275">
        <v>470.05</v>
      </c>
      <c r="H275" t="s">
        <v>34</v>
      </c>
      <c r="I275" t="s">
        <v>38</v>
      </c>
      <c r="J275" s="1">
        <v>45882</v>
      </c>
      <c r="K275" t="s">
        <v>26</v>
      </c>
      <c r="N275">
        <v>2</v>
      </c>
      <c r="O275">
        <v>8</v>
      </c>
      <c r="P275">
        <v>37</v>
      </c>
      <c r="Q275" t="s">
        <v>26</v>
      </c>
      <c r="R275">
        <f>IF(subscriptions[[#This Row],[churned]]="Yes",1,0)</f>
        <v>0</v>
      </c>
      <c r="S275">
        <f ca="1">IF(subscriptions[[#This Row],[churn_flag]]=1, DATEDIF(subscriptions[[#This Row],[signup_date]],subscriptions[[#This Row],[churn_date]],"M"), DATEDIF(subscriptions[[#This Row],[signup_date]],TODAY(),"M"))</f>
        <v>9</v>
      </c>
      <c r="T275">
        <f ca="1">subscriptions[[#This Row],[monthly_revenue]]*subscriptions[[#This Row],[customer_lifetime]]</f>
        <v>4230.45</v>
      </c>
      <c r="U275" t="str">
        <f>IF(subscriptions[[#This Row],[feature_usage_pct]]&lt;30,"High Risk",IF(subscriptions[[#This Row],[feature_usage_pct]]&lt;60,"Medium Risk","Low Risk"))</f>
        <v>Medium Risk</v>
      </c>
      <c r="V275">
        <f ca="1">subscriptions[[#This Row],[CLV]]/200</f>
        <v>21.152249999999999</v>
      </c>
    </row>
    <row r="276" spans="1:22" x14ac:dyDescent="0.25">
      <c r="A276" t="s">
        <v>329</v>
      </c>
      <c r="B276" t="s">
        <v>36</v>
      </c>
      <c r="C276" t="s">
        <v>19</v>
      </c>
      <c r="D276" t="s">
        <v>62</v>
      </c>
      <c r="E276" s="2" t="s">
        <v>664</v>
      </c>
      <c r="F276">
        <v>6</v>
      </c>
      <c r="G276">
        <v>348.25</v>
      </c>
      <c r="H276" t="s">
        <v>22</v>
      </c>
      <c r="I276" t="s">
        <v>69</v>
      </c>
      <c r="J276" s="1">
        <v>45566</v>
      </c>
      <c r="K276" t="s">
        <v>26</v>
      </c>
      <c r="N276">
        <v>7</v>
      </c>
      <c r="O276">
        <v>7</v>
      </c>
      <c r="P276">
        <v>30</v>
      </c>
      <c r="Q276" t="s">
        <v>26</v>
      </c>
      <c r="R276">
        <f>IF(subscriptions[[#This Row],[churned]]="Yes",1,0)</f>
        <v>0</v>
      </c>
      <c r="S276">
        <f ca="1">IF(subscriptions[[#This Row],[churn_flag]]=1, DATEDIF(subscriptions[[#This Row],[signup_date]],subscriptions[[#This Row],[churn_date]],"M"), DATEDIF(subscriptions[[#This Row],[signup_date]],TODAY(),"M"))</f>
        <v>19</v>
      </c>
      <c r="T276">
        <f ca="1">subscriptions[[#This Row],[monthly_revenue]]*subscriptions[[#This Row],[customer_lifetime]]</f>
        <v>6616.75</v>
      </c>
      <c r="U276" t="str">
        <f>IF(subscriptions[[#This Row],[feature_usage_pct]]&lt;30,"High Risk",IF(subscriptions[[#This Row],[feature_usage_pct]]&lt;60,"Medium Risk","Low Risk"))</f>
        <v>Medium Risk</v>
      </c>
      <c r="V276">
        <f ca="1">subscriptions[[#This Row],[CLV]]/200</f>
        <v>33.083750000000002</v>
      </c>
    </row>
    <row r="277" spans="1:22" x14ac:dyDescent="0.25">
      <c r="A277" t="s">
        <v>330</v>
      </c>
      <c r="B277" t="s">
        <v>31</v>
      </c>
      <c r="C277" t="s">
        <v>19</v>
      </c>
      <c r="D277" t="s">
        <v>68</v>
      </c>
      <c r="E277" s="2" t="s">
        <v>45</v>
      </c>
      <c r="F277">
        <v>50</v>
      </c>
      <c r="G277">
        <v>242.15</v>
      </c>
      <c r="H277" t="s">
        <v>43</v>
      </c>
      <c r="I277" t="s">
        <v>55</v>
      </c>
      <c r="J277" s="1">
        <v>45319</v>
      </c>
      <c r="K277" t="s">
        <v>26</v>
      </c>
      <c r="N277">
        <v>0</v>
      </c>
      <c r="O277">
        <v>3</v>
      </c>
      <c r="P277">
        <v>40</v>
      </c>
      <c r="Q277" t="s">
        <v>24</v>
      </c>
      <c r="R277">
        <f>IF(subscriptions[[#This Row],[churned]]="Yes",1,0)</f>
        <v>0</v>
      </c>
      <c r="S277">
        <f ca="1">IF(subscriptions[[#This Row],[churn_flag]]=1, DATEDIF(subscriptions[[#This Row],[signup_date]],subscriptions[[#This Row],[churn_date]],"M"), DATEDIF(subscriptions[[#This Row],[signup_date]],TODAY(),"M"))</f>
        <v>27</v>
      </c>
      <c r="T277">
        <f ca="1">subscriptions[[#This Row],[monthly_revenue]]*subscriptions[[#This Row],[customer_lifetime]]</f>
        <v>6538.05</v>
      </c>
      <c r="U277" t="str">
        <f>IF(subscriptions[[#This Row],[feature_usage_pct]]&lt;30,"High Risk",IF(subscriptions[[#This Row],[feature_usage_pct]]&lt;60,"Medium Risk","Low Risk"))</f>
        <v>Medium Risk</v>
      </c>
      <c r="V277">
        <f ca="1">subscriptions[[#This Row],[CLV]]/200</f>
        <v>32.690249999999999</v>
      </c>
    </row>
    <row r="278" spans="1:22" x14ac:dyDescent="0.25">
      <c r="A278" t="s">
        <v>331</v>
      </c>
      <c r="B278" t="s">
        <v>71</v>
      </c>
      <c r="C278" t="s">
        <v>19</v>
      </c>
      <c r="D278" t="s">
        <v>62</v>
      </c>
      <c r="E278" s="2" t="s">
        <v>663</v>
      </c>
      <c r="F278">
        <v>31</v>
      </c>
      <c r="G278">
        <v>2744.5</v>
      </c>
      <c r="H278" t="s">
        <v>43</v>
      </c>
      <c r="I278" t="s">
        <v>38</v>
      </c>
      <c r="J278" s="1">
        <v>44959</v>
      </c>
      <c r="K278" t="s">
        <v>24</v>
      </c>
      <c r="L278" s="1">
        <v>45053</v>
      </c>
      <c r="M278" t="s">
        <v>50</v>
      </c>
      <c r="N278">
        <v>3</v>
      </c>
      <c r="O278">
        <v>1</v>
      </c>
      <c r="P278">
        <v>12</v>
      </c>
      <c r="Q278" t="s">
        <v>26</v>
      </c>
      <c r="R278">
        <f>IF(subscriptions[[#This Row],[churned]]="Yes",1,0)</f>
        <v>1</v>
      </c>
      <c r="S278">
        <f ca="1">IF(subscriptions[[#This Row],[churn_flag]]=1, DATEDIF(subscriptions[[#This Row],[signup_date]],subscriptions[[#This Row],[churn_date]],"M"), DATEDIF(subscriptions[[#This Row],[signup_date]],TODAY(),"M"))</f>
        <v>3</v>
      </c>
      <c r="T278">
        <f ca="1">subscriptions[[#This Row],[monthly_revenue]]*subscriptions[[#This Row],[customer_lifetime]]</f>
        <v>8233.5</v>
      </c>
      <c r="U278" t="str">
        <f>IF(subscriptions[[#This Row],[feature_usage_pct]]&lt;30,"High Risk",IF(subscriptions[[#This Row],[feature_usage_pct]]&lt;60,"Medium Risk","Low Risk"))</f>
        <v>High Risk</v>
      </c>
      <c r="V278">
        <f ca="1">subscriptions[[#This Row],[CLV]]/200</f>
        <v>41.167499999999997</v>
      </c>
    </row>
    <row r="279" spans="1:22" x14ac:dyDescent="0.25">
      <c r="A279" t="s">
        <v>332</v>
      </c>
      <c r="B279" t="s">
        <v>36</v>
      </c>
      <c r="C279" t="s">
        <v>19</v>
      </c>
      <c r="D279" t="s">
        <v>32</v>
      </c>
      <c r="E279" s="2" t="s">
        <v>21</v>
      </c>
      <c r="F279">
        <v>48</v>
      </c>
      <c r="G279">
        <v>1601.95</v>
      </c>
      <c r="H279" t="s">
        <v>22</v>
      </c>
      <c r="I279" t="s">
        <v>38</v>
      </c>
      <c r="J279" s="1">
        <v>45947</v>
      </c>
      <c r="K279" t="s">
        <v>26</v>
      </c>
      <c r="N279">
        <v>7</v>
      </c>
      <c r="O279">
        <v>4</v>
      </c>
      <c r="P279">
        <v>52</v>
      </c>
      <c r="Q279" t="s">
        <v>26</v>
      </c>
      <c r="R279">
        <f>IF(subscriptions[[#This Row],[churned]]="Yes",1,0)</f>
        <v>0</v>
      </c>
      <c r="S279">
        <f ca="1">IF(subscriptions[[#This Row],[churn_flag]]=1, DATEDIF(subscriptions[[#This Row],[signup_date]],subscriptions[[#This Row],[churn_date]],"M"), DATEDIF(subscriptions[[#This Row],[signup_date]],TODAY(),"M"))</f>
        <v>6</v>
      </c>
      <c r="T279">
        <f ca="1">subscriptions[[#This Row],[monthly_revenue]]*subscriptions[[#This Row],[customer_lifetime]]</f>
        <v>9611.7000000000007</v>
      </c>
      <c r="U279" t="str">
        <f>IF(subscriptions[[#This Row],[feature_usage_pct]]&lt;30,"High Risk",IF(subscriptions[[#This Row],[feature_usage_pct]]&lt;60,"Medium Risk","Low Risk"))</f>
        <v>Medium Risk</v>
      </c>
      <c r="V279">
        <f ca="1">subscriptions[[#This Row],[CLV]]/200</f>
        <v>48.058500000000002</v>
      </c>
    </row>
    <row r="280" spans="1:22" x14ac:dyDescent="0.25">
      <c r="A280" t="s">
        <v>333</v>
      </c>
      <c r="B280" t="s">
        <v>31</v>
      </c>
      <c r="C280" t="s">
        <v>19</v>
      </c>
      <c r="D280" t="s">
        <v>32</v>
      </c>
      <c r="E280" s="2" t="s">
        <v>664</v>
      </c>
      <c r="F280">
        <v>7</v>
      </c>
      <c r="G280">
        <v>55.1</v>
      </c>
      <c r="H280" t="s">
        <v>22</v>
      </c>
      <c r="I280" t="s">
        <v>23</v>
      </c>
      <c r="J280" s="1">
        <v>45909</v>
      </c>
      <c r="K280" t="s">
        <v>26</v>
      </c>
      <c r="N280">
        <v>4</v>
      </c>
      <c r="O280">
        <v>3</v>
      </c>
      <c r="P280">
        <v>93</v>
      </c>
      <c r="Q280" t="s">
        <v>26</v>
      </c>
      <c r="R280">
        <f>IF(subscriptions[[#This Row],[churned]]="Yes",1,0)</f>
        <v>0</v>
      </c>
      <c r="S280">
        <f ca="1">IF(subscriptions[[#This Row],[churn_flag]]=1, DATEDIF(subscriptions[[#This Row],[signup_date]],subscriptions[[#This Row],[churn_date]],"M"), DATEDIF(subscriptions[[#This Row],[signup_date]],TODAY(),"M"))</f>
        <v>8</v>
      </c>
      <c r="T280">
        <f ca="1">subscriptions[[#This Row],[monthly_revenue]]*subscriptions[[#This Row],[customer_lifetime]]</f>
        <v>440.8</v>
      </c>
      <c r="U280" t="str">
        <f>IF(subscriptions[[#This Row],[feature_usage_pct]]&lt;30,"High Risk",IF(subscriptions[[#This Row],[feature_usage_pct]]&lt;60,"Medium Risk","Low Risk"))</f>
        <v>Low Risk</v>
      </c>
      <c r="V280">
        <f ca="1">subscriptions[[#This Row],[CLV]]/200</f>
        <v>2.2040000000000002</v>
      </c>
    </row>
    <row r="281" spans="1:22" x14ac:dyDescent="0.25">
      <c r="A281" t="s">
        <v>334</v>
      </c>
      <c r="B281" t="s">
        <v>31</v>
      </c>
      <c r="C281" t="s">
        <v>19</v>
      </c>
      <c r="D281" t="s">
        <v>52</v>
      </c>
      <c r="E281" s="2" t="s">
        <v>664</v>
      </c>
      <c r="F281">
        <v>3</v>
      </c>
      <c r="G281">
        <v>37.700000000000003</v>
      </c>
      <c r="H281" t="s">
        <v>29</v>
      </c>
      <c r="I281" t="s">
        <v>38</v>
      </c>
      <c r="J281" s="1">
        <v>45778</v>
      </c>
      <c r="K281" t="s">
        <v>26</v>
      </c>
      <c r="N281">
        <v>2</v>
      </c>
      <c r="O281">
        <v>6</v>
      </c>
      <c r="P281">
        <v>66</v>
      </c>
      <c r="Q281" t="s">
        <v>26</v>
      </c>
      <c r="R281">
        <f>IF(subscriptions[[#This Row],[churned]]="Yes",1,0)</f>
        <v>0</v>
      </c>
      <c r="S281">
        <f ca="1">IF(subscriptions[[#This Row],[churn_flag]]=1, DATEDIF(subscriptions[[#This Row],[signup_date]],subscriptions[[#This Row],[churn_date]],"M"), DATEDIF(subscriptions[[#This Row],[signup_date]],TODAY(),"M"))</f>
        <v>12</v>
      </c>
      <c r="T281">
        <f ca="1">subscriptions[[#This Row],[monthly_revenue]]*subscriptions[[#This Row],[customer_lifetime]]</f>
        <v>452.40000000000003</v>
      </c>
      <c r="U281" t="str">
        <f>IF(subscriptions[[#This Row],[feature_usage_pct]]&lt;30,"High Risk",IF(subscriptions[[#This Row],[feature_usage_pct]]&lt;60,"Medium Risk","Low Risk"))</f>
        <v>Low Risk</v>
      </c>
      <c r="V281">
        <f ca="1">subscriptions[[#This Row],[CLV]]/200</f>
        <v>2.262</v>
      </c>
    </row>
    <row r="282" spans="1:22" x14ac:dyDescent="0.25">
      <c r="A282" t="s">
        <v>335</v>
      </c>
      <c r="B282" t="s">
        <v>36</v>
      </c>
      <c r="C282" t="s">
        <v>28</v>
      </c>
      <c r="D282" t="s">
        <v>68</v>
      </c>
      <c r="E282" s="2" t="s">
        <v>663</v>
      </c>
      <c r="F282">
        <v>25</v>
      </c>
      <c r="G282">
        <v>778.09</v>
      </c>
      <c r="H282" t="s">
        <v>34</v>
      </c>
      <c r="I282" t="s">
        <v>23</v>
      </c>
      <c r="J282" s="1">
        <v>45819</v>
      </c>
      <c r="K282" t="s">
        <v>26</v>
      </c>
      <c r="N282">
        <v>4</v>
      </c>
      <c r="O282">
        <v>3</v>
      </c>
      <c r="P282">
        <v>90</v>
      </c>
      <c r="Q282" t="s">
        <v>26</v>
      </c>
      <c r="R282">
        <f>IF(subscriptions[[#This Row],[churned]]="Yes",1,0)</f>
        <v>0</v>
      </c>
      <c r="S282">
        <f ca="1">IF(subscriptions[[#This Row],[churn_flag]]=1, DATEDIF(subscriptions[[#This Row],[signup_date]],subscriptions[[#This Row],[churn_date]],"M"), DATEDIF(subscriptions[[#This Row],[signup_date]],TODAY(),"M"))</f>
        <v>11</v>
      </c>
      <c r="T282">
        <f ca="1">subscriptions[[#This Row],[monthly_revenue]]*subscriptions[[#This Row],[customer_lifetime]]</f>
        <v>8558.99</v>
      </c>
      <c r="U282" t="str">
        <f>IF(subscriptions[[#This Row],[feature_usage_pct]]&lt;30,"High Risk",IF(subscriptions[[#This Row],[feature_usage_pct]]&lt;60,"Medium Risk","Low Risk"))</f>
        <v>Low Risk</v>
      </c>
      <c r="V282">
        <f ca="1">subscriptions[[#This Row],[CLV]]/200</f>
        <v>42.79495</v>
      </c>
    </row>
    <row r="283" spans="1:22" x14ac:dyDescent="0.25">
      <c r="A283" t="s">
        <v>336</v>
      </c>
      <c r="B283" t="s">
        <v>18</v>
      </c>
      <c r="C283" t="s">
        <v>19</v>
      </c>
      <c r="D283" t="s">
        <v>32</v>
      </c>
      <c r="E283" s="2" t="s">
        <v>663</v>
      </c>
      <c r="F283">
        <v>15</v>
      </c>
      <c r="G283">
        <v>244.9</v>
      </c>
      <c r="H283" t="s">
        <v>34</v>
      </c>
      <c r="I283" t="s">
        <v>23</v>
      </c>
      <c r="J283" s="1">
        <v>45780</v>
      </c>
      <c r="K283" t="s">
        <v>26</v>
      </c>
      <c r="N283">
        <v>1</v>
      </c>
      <c r="O283">
        <v>6</v>
      </c>
      <c r="P283">
        <v>86</v>
      </c>
      <c r="Q283" t="s">
        <v>24</v>
      </c>
      <c r="R283">
        <f>IF(subscriptions[[#This Row],[churned]]="Yes",1,0)</f>
        <v>0</v>
      </c>
      <c r="S283">
        <f ca="1">IF(subscriptions[[#This Row],[churn_flag]]=1, DATEDIF(subscriptions[[#This Row],[signup_date]],subscriptions[[#This Row],[churn_date]],"M"), DATEDIF(subscriptions[[#This Row],[signup_date]],TODAY(),"M"))</f>
        <v>12</v>
      </c>
      <c r="T283">
        <f ca="1">subscriptions[[#This Row],[monthly_revenue]]*subscriptions[[#This Row],[customer_lifetime]]</f>
        <v>2938.8</v>
      </c>
      <c r="U283" t="str">
        <f>IF(subscriptions[[#This Row],[feature_usage_pct]]&lt;30,"High Risk",IF(subscriptions[[#This Row],[feature_usage_pct]]&lt;60,"Medium Risk","Low Risk"))</f>
        <v>Low Risk</v>
      </c>
      <c r="V283">
        <f ca="1">subscriptions[[#This Row],[CLV]]/200</f>
        <v>14.694000000000001</v>
      </c>
    </row>
    <row r="284" spans="1:22" x14ac:dyDescent="0.25">
      <c r="A284" t="s">
        <v>337</v>
      </c>
      <c r="B284" t="s">
        <v>18</v>
      </c>
      <c r="C284" t="s">
        <v>19</v>
      </c>
      <c r="D284" t="s">
        <v>40</v>
      </c>
      <c r="E284" s="2" t="s">
        <v>21</v>
      </c>
      <c r="F284">
        <v>18</v>
      </c>
      <c r="G284">
        <v>280.45</v>
      </c>
      <c r="H284" t="s">
        <v>60</v>
      </c>
      <c r="I284" t="s">
        <v>23</v>
      </c>
      <c r="J284" s="1">
        <v>44887</v>
      </c>
      <c r="K284" t="s">
        <v>24</v>
      </c>
      <c r="L284" s="1">
        <v>45925</v>
      </c>
      <c r="M284" t="s">
        <v>50</v>
      </c>
      <c r="N284">
        <v>6</v>
      </c>
      <c r="O284">
        <v>2</v>
      </c>
      <c r="P284">
        <v>11</v>
      </c>
      <c r="Q284" t="s">
        <v>26</v>
      </c>
      <c r="R284">
        <f>IF(subscriptions[[#This Row],[churned]]="Yes",1,0)</f>
        <v>1</v>
      </c>
      <c r="S284">
        <f ca="1">IF(subscriptions[[#This Row],[churn_flag]]=1, DATEDIF(subscriptions[[#This Row],[signup_date]],subscriptions[[#This Row],[churn_date]],"M"), DATEDIF(subscriptions[[#This Row],[signup_date]],TODAY(),"M"))</f>
        <v>34</v>
      </c>
      <c r="T284">
        <f ca="1">subscriptions[[#This Row],[monthly_revenue]]*subscriptions[[#This Row],[customer_lifetime]]</f>
        <v>9535.2999999999993</v>
      </c>
      <c r="U284" t="str">
        <f>IF(subscriptions[[#This Row],[feature_usage_pct]]&lt;30,"High Risk",IF(subscriptions[[#This Row],[feature_usage_pct]]&lt;60,"Medium Risk","Low Risk"))</f>
        <v>High Risk</v>
      </c>
      <c r="V284">
        <f ca="1">subscriptions[[#This Row],[CLV]]/200</f>
        <v>47.676499999999997</v>
      </c>
    </row>
    <row r="285" spans="1:22" x14ac:dyDescent="0.25">
      <c r="A285" t="s">
        <v>338</v>
      </c>
      <c r="B285" t="s">
        <v>31</v>
      </c>
      <c r="C285" t="s">
        <v>19</v>
      </c>
      <c r="D285" t="s">
        <v>40</v>
      </c>
      <c r="E285" s="2" t="s">
        <v>45</v>
      </c>
      <c r="F285">
        <v>82</v>
      </c>
      <c r="G285">
        <v>381.35</v>
      </c>
      <c r="H285" t="s">
        <v>22</v>
      </c>
      <c r="I285" t="s">
        <v>23</v>
      </c>
      <c r="J285" s="1">
        <v>45606</v>
      </c>
      <c r="K285" t="s">
        <v>26</v>
      </c>
      <c r="N285">
        <v>10</v>
      </c>
      <c r="O285">
        <v>4</v>
      </c>
      <c r="P285">
        <v>84</v>
      </c>
      <c r="Q285" t="s">
        <v>24</v>
      </c>
      <c r="R285">
        <f>IF(subscriptions[[#This Row],[churned]]="Yes",1,0)</f>
        <v>0</v>
      </c>
      <c r="S285">
        <f ca="1">IF(subscriptions[[#This Row],[churn_flag]]=1, DATEDIF(subscriptions[[#This Row],[signup_date]],subscriptions[[#This Row],[churn_date]],"M"), DATEDIF(subscriptions[[#This Row],[signup_date]],TODAY(),"M"))</f>
        <v>18</v>
      </c>
      <c r="T285">
        <f ca="1">subscriptions[[#This Row],[monthly_revenue]]*subscriptions[[#This Row],[customer_lifetime]]</f>
        <v>6864.3</v>
      </c>
      <c r="U285" t="str">
        <f>IF(subscriptions[[#This Row],[feature_usage_pct]]&lt;30,"High Risk",IF(subscriptions[[#This Row],[feature_usage_pct]]&lt;60,"Medium Risk","Low Risk"))</f>
        <v>Low Risk</v>
      </c>
      <c r="V285">
        <f ca="1">subscriptions[[#This Row],[CLV]]/200</f>
        <v>34.3215</v>
      </c>
    </row>
    <row r="286" spans="1:22" x14ac:dyDescent="0.25">
      <c r="A286" t="s">
        <v>339</v>
      </c>
      <c r="B286" t="s">
        <v>31</v>
      </c>
      <c r="C286" t="s">
        <v>19</v>
      </c>
      <c r="D286" t="s">
        <v>52</v>
      </c>
      <c r="E286" s="2" t="s">
        <v>45</v>
      </c>
      <c r="F286">
        <v>111</v>
      </c>
      <c r="G286">
        <v>507.5</v>
      </c>
      <c r="H286" t="s">
        <v>98</v>
      </c>
      <c r="I286" t="s">
        <v>23</v>
      </c>
      <c r="J286" s="1">
        <v>46004</v>
      </c>
      <c r="K286" t="s">
        <v>26</v>
      </c>
      <c r="N286">
        <v>9</v>
      </c>
      <c r="O286">
        <v>7</v>
      </c>
      <c r="P286">
        <v>73</v>
      </c>
      <c r="Q286" t="s">
        <v>26</v>
      </c>
      <c r="R286">
        <f>IF(subscriptions[[#This Row],[churned]]="Yes",1,0)</f>
        <v>0</v>
      </c>
      <c r="S286">
        <f ca="1">IF(subscriptions[[#This Row],[churn_flag]]=1, DATEDIF(subscriptions[[#This Row],[signup_date]],subscriptions[[#This Row],[churn_date]],"M"), DATEDIF(subscriptions[[#This Row],[signup_date]],TODAY(),"M"))</f>
        <v>5</v>
      </c>
      <c r="T286">
        <f ca="1">subscriptions[[#This Row],[monthly_revenue]]*subscriptions[[#This Row],[customer_lifetime]]</f>
        <v>2537.5</v>
      </c>
      <c r="U286" t="str">
        <f>IF(subscriptions[[#This Row],[feature_usage_pct]]&lt;30,"High Risk",IF(subscriptions[[#This Row],[feature_usage_pct]]&lt;60,"Medium Risk","Low Risk"))</f>
        <v>Low Risk</v>
      </c>
      <c r="V286">
        <f ca="1">subscriptions[[#This Row],[CLV]]/200</f>
        <v>12.6875</v>
      </c>
    </row>
    <row r="287" spans="1:22" x14ac:dyDescent="0.25">
      <c r="A287" t="s">
        <v>340</v>
      </c>
      <c r="B287" t="s">
        <v>36</v>
      </c>
      <c r="C287" t="s">
        <v>28</v>
      </c>
      <c r="D287" t="s">
        <v>32</v>
      </c>
      <c r="E287" s="2" t="s">
        <v>664</v>
      </c>
      <c r="F287">
        <v>2</v>
      </c>
      <c r="G287">
        <v>194.52</v>
      </c>
      <c r="H287" t="s">
        <v>22</v>
      </c>
      <c r="I287" t="s">
        <v>69</v>
      </c>
      <c r="J287" s="1">
        <v>45109</v>
      </c>
      <c r="K287" t="s">
        <v>24</v>
      </c>
      <c r="L287" s="1">
        <v>45194</v>
      </c>
      <c r="M287" t="s">
        <v>53</v>
      </c>
      <c r="N287">
        <v>1</v>
      </c>
      <c r="O287">
        <v>2</v>
      </c>
      <c r="P287">
        <v>39</v>
      </c>
      <c r="Q287" t="s">
        <v>26</v>
      </c>
      <c r="R287">
        <f>IF(subscriptions[[#This Row],[churned]]="Yes",1,0)</f>
        <v>1</v>
      </c>
      <c r="S287">
        <f ca="1">IF(subscriptions[[#This Row],[churn_flag]]=1, DATEDIF(subscriptions[[#This Row],[signup_date]],subscriptions[[#This Row],[churn_date]],"M"), DATEDIF(subscriptions[[#This Row],[signup_date]],TODAY(),"M"))</f>
        <v>2</v>
      </c>
      <c r="T287">
        <f ca="1">subscriptions[[#This Row],[monthly_revenue]]*subscriptions[[#This Row],[customer_lifetime]]</f>
        <v>389.04</v>
      </c>
      <c r="U287" t="str">
        <f>IF(subscriptions[[#This Row],[feature_usage_pct]]&lt;30,"High Risk",IF(subscriptions[[#This Row],[feature_usage_pct]]&lt;60,"Medium Risk","Low Risk"))</f>
        <v>Medium Risk</v>
      </c>
      <c r="V287">
        <f ca="1">subscriptions[[#This Row],[CLV]]/200</f>
        <v>1.9452</v>
      </c>
    </row>
    <row r="288" spans="1:22" x14ac:dyDescent="0.25">
      <c r="A288" t="s">
        <v>341</v>
      </c>
      <c r="B288" t="s">
        <v>71</v>
      </c>
      <c r="C288" t="s">
        <v>19</v>
      </c>
      <c r="D288" t="s">
        <v>40</v>
      </c>
      <c r="E288" s="2" t="s">
        <v>21</v>
      </c>
      <c r="F288">
        <v>71</v>
      </c>
      <c r="G288">
        <v>5738.5</v>
      </c>
      <c r="H288" t="s">
        <v>43</v>
      </c>
      <c r="I288" t="s">
        <v>23</v>
      </c>
      <c r="J288" s="1">
        <v>44939</v>
      </c>
      <c r="K288" t="s">
        <v>26</v>
      </c>
      <c r="N288">
        <v>9</v>
      </c>
      <c r="O288">
        <v>10</v>
      </c>
      <c r="P288">
        <v>36</v>
      </c>
      <c r="Q288" t="s">
        <v>26</v>
      </c>
      <c r="R288">
        <f>IF(subscriptions[[#This Row],[churned]]="Yes",1,0)</f>
        <v>0</v>
      </c>
      <c r="S288">
        <f ca="1">IF(subscriptions[[#This Row],[churn_flag]]=1, DATEDIF(subscriptions[[#This Row],[signup_date]],subscriptions[[#This Row],[churn_date]],"M"), DATEDIF(subscriptions[[#This Row],[signup_date]],TODAY(),"M"))</f>
        <v>40</v>
      </c>
      <c r="T288">
        <f ca="1">subscriptions[[#This Row],[monthly_revenue]]*subscriptions[[#This Row],[customer_lifetime]]</f>
        <v>229540</v>
      </c>
      <c r="U288" t="str">
        <f>IF(subscriptions[[#This Row],[feature_usage_pct]]&lt;30,"High Risk",IF(subscriptions[[#This Row],[feature_usage_pct]]&lt;60,"Medium Risk","Low Risk"))</f>
        <v>Medium Risk</v>
      </c>
      <c r="V288">
        <f ca="1">subscriptions[[#This Row],[CLV]]/200</f>
        <v>1147.7</v>
      </c>
    </row>
    <row r="289" spans="1:22" x14ac:dyDescent="0.25">
      <c r="A289" t="s">
        <v>342</v>
      </c>
      <c r="B289" t="s">
        <v>36</v>
      </c>
      <c r="C289" t="s">
        <v>19</v>
      </c>
      <c r="D289" t="s">
        <v>42</v>
      </c>
      <c r="E289" s="2" t="s">
        <v>663</v>
      </c>
      <c r="F289">
        <v>19</v>
      </c>
      <c r="G289">
        <v>736.3</v>
      </c>
      <c r="H289" t="s">
        <v>22</v>
      </c>
      <c r="I289" t="s">
        <v>23</v>
      </c>
      <c r="J289" s="1">
        <v>45738</v>
      </c>
      <c r="K289" t="s">
        <v>26</v>
      </c>
      <c r="N289">
        <v>12</v>
      </c>
      <c r="O289">
        <v>9</v>
      </c>
      <c r="P289">
        <v>47</v>
      </c>
      <c r="Q289" t="s">
        <v>24</v>
      </c>
      <c r="R289">
        <f>IF(subscriptions[[#This Row],[churned]]="Yes",1,0)</f>
        <v>0</v>
      </c>
      <c r="S289">
        <f ca="1">IF(subscriptions[[#This Row],[churn_flag]]=1, DATEDIF(subscriptions[[#This Row],[signup_date]],subscriptions[[#This Row],[churn_date]],"M"), DATEDIF(subscriptions[[#This Row],[signup_date]],TODAY(),"M"))</f>
        <v>13</v>
      </c>
      <c r="T289">
        <f ca="1">subscriptions[[#This Row],[monthly_revenue]]*subscriptions[[#This Row],[customer_lifetime]]</f>
        <v>9571.9</v>
      </c>
      <c r="U289" t="str">
        <f>IF(subscriptions[[#This Row],[feature_usage_pct]]&lt;30,"High Risk",IF(subscriptions[[#This Row],[feature_usage_pct]]&lt;60,"Medium Risk","Low Risk"))</f>
        <v>Medium Risk</v>
      </c>
      <c r="V289">
        <f ca="1">subscriptions[[#This Row],[CLV]]/200</f>
        <v>47.859499999999997</v>
      </c>
    </row>
    <row r="290" spans="1:22" x14ac:dyDescent="0.25">
      <c r="A290" t="s">
        <v>343</v>
      </c>
      <c r="B290" t="s">
        <v>18</v>
      </c>
      <c r="C290" t="s">
        <v>19</v>
      </c>
      <c r="D290" t="s">
        <v>40</v>
      </c>
      <c r="E290" s="2" t="s">
        <v>21</v>
      </c>
      <c r="F290">
        <v>51</v>
      </c>
      <c r="G290">
        <v>671.5</v>
      </c>
      <c r="H290" t="s">
        <v>22</v>
      </c>
      <c r="I290" t="s">
        <v>23</v>
      </c>
      <c r="J290" s="1">
        <v>44567</v>
      </c>
      <c r="K290" t="s">
        <v>26</v>
      </c>
      <c r="N290">
        <v>3</v>
      </c>
      <c r="O290">
        <v>7</v>
      </c>
      <c r="P290">
        <v>75</v>
      </c>
      <c r="Q290" t="s">
        <v>26</v>
      </c>
      <c r="R290">
        <f>IF(subscriptions[[#This Row],[churned]]="Yes",1,0)</f>
        <v>0</v>
      </c>
      <c r="S290">
        <f ca="1">IF(subscriptions[[#This Row],[churn_flag]]=1, DATEDIF(subscriptions[[#This Row],[signup_date]],subscriptions[[#This Row],[churn_date]],"M"), DATEDIF(subscriptions[[#This Row],[signup_date]],TODAY(),"M"))</f>
        <v>52</v>
      </c>
      <c r="T290">
        <f ca="1">subscriptions[[#This Row],[monthly_revenue]]*subscriptions[[#This Row],[customer_lifetime]]</f>
        <v>34918</v>
      </c>
      <c r="U290" t="str">
        <f>IF(subscriptions[[#This Row],[feature_usage_pct]]&lt;30,"High Risk",IF(subscriptions[[#This Row],[feature_usage_pct]]&lt;60,"Medium Risk","Low Risk"))</f>
        <v>Low Risk</v>
      </c>
      <c r="V290">
        <f ca="1">subscriptions[[#This Row],[CLV]]/200</f>
        <v>174.59</v>
      </c>
    </row>
    <row r="291" spans="1:22" x14ac:dyDescent="0.25">
      <c r="A291" t="s">
        <v>344</v>
      </c>
      <c r="B291" t="s">
        <v>36</v>
      </c>
      <c r="C291" t="s">
        <v>28</v>
      </c>
      <c r="D291" t="s">
        <v>79</v>
      </c>
      <c r="E291" s="2" t="s">
        <v>45</v>
      </c>
      <c r="F291">
        <v>55</v>
      </c>
      <c r="G291">
        <v>1539.27</v>
      </c>
      <c r="H291" t="s">
        <v>60</v>
      </c>
      <c r="I291" t="s">
        <v>69</v>
      </c>
      <c r="J291" s="1">
        <v>44771</v>
      </c>
      <c r="K291" t="s">
        <v>24</v>
      </c>
      <c r="L291" s="1">
        <v>45441</v>
      </c>
      <c r="M291" t="s">
        <v>46</v>
      </c>
      <c r="N291">
        <v>8</v>
      </c>
      <c r="O291">
        <v>2</v>
      </c>
      <c r="P291">
        <v>34</v>
      </c>
      <c r="Q291" t="s">
        <v>26</v>
      </c>
      <c r="R291">
        <f>IF(subscriptions[[#This Row],[churned]]="Yes",1,0)</f>
        <v>1</v>
      </c>
      <c r="S291">
        <f ca="1">IF(subscriptions[[#This Row],[churn_flag]]=1, DATEDIF(subscriptions[[#This Row],[signup_date]],subscriptions[[#This Row],[churn_date]],"M"), DATEDIF(subscriptions[[#This Row],[signup_date]],TODAY(),"M"))</f>
        <v>22</v>
      </c>
      <c r="T291">
        <f ca="1">subscriptions[[#This Row],[monthly_revenue]]*subscriptions[[#This Row],[customer_lifetime]]</f>
        <v>33863.94</v>
      </c>
      <c r="U291" t="str">
        <f>IF(subscriptions[[#This Row],[feature_usage_pct]]&lt;30,"High Risk",IF(subscriptions[[#This Row],[feature_usage_pct]]&lt;60,"Medium Risk","Low Risk"))</f>
        <v>Medium Risk</v>
      </c>
      <c r="V291">
        <f ca="1">subscriptions[[#This Row],[CLV]]/200</f>
        <v>169.31970000000001</v>
      </c>
    </row>
    <row r="292" spans="1:22" x14ac:dyDescent="0.25">
      <c r="A292" t="s">
        <v>345</v>
      </c>
      <c r="B292" t="s">
        <v>71</v>
      </c>
      <c r="C292" t="s">
        <v>28</v>
      </c>
      <c r="D292" t="s">
        <v>32</v>
      </c>
      <c r="E292" s="2" t="s">
        <v>21</v>
      </c>
      <c r="F292">
        <v>16</v>
      </c>
      <c r="G292">
        <v>1378.49</v>
      </c>
      <c r="H292" t="s">
        <v>98</v>
      </c>
      <c r="I292" t="s">
        <v>23</v>
      </c>
      <c r="J292" s="1">
        <v>44938</v>
      </c>
      <c r="K292" t="s">
        <v>26</v>
      </c>
      <c r="N292">
        <v>9</v>
      </c>
      <c r="O292">
        <v>6</v>
      </c>
      <c r="P292">
        <v>31</v>
      </c>
      <c r="Q292" t="s">
        <v>26</v>
      </c>
      <c r="R292">
        <f>IF(subscriptions[[#This Row],[churned]]="Yes",1,0)</f>
        <v>0</v>
      </c>
      <c r="S292">
        <f ca="1">IF(subscriptions[[#This Row],[churn_flag]]=1, DATEDIF(subscriptions[[#This Row],[signup_date]],subscriptions[[#This Row],[churn_date]],"M"), DATEDIF(subscriptions[[#This Row],[signup_date]],TODAY(),"M"))</f>
        <v>40</v>
      </c>
      <c r="T292">
        <f ca="1">subscriptions[[#This Row],[monthly_revenue]]*subscriptions[[#This Row],[customer_lifetime]]</f>
        <v>55139.6</v>
      </c>
      <c r="U292" t="str">
        <f>IF(subscriptions[[#This Row],[feature_usage_pct]]&lt;30,"High Risk",IF(subscriptions[[#This Row],[feature_usage_pct]]&lt;60,"Medium Risk","Low Risk"))</f>
        <v>Medium Risk</v>
      </c>
      <c r="V292">
        <f ca="1">subscriptions[[#This Row],[CLV]]/200</f>
        <v>275.69799999999998</v>
      </c>
    </row>
    <row r="293" spans="1:22" x14ac:dyDescent="0.25">
      <c r="A293" t="s">
        <v>346</v>
      </c>
      <c r="B293" t="s">
        <v>18</v>
      </c>
      <c r="C293" t="s">
        <v>19</v>
      </c>
      <c r="D293" t="s">
        <v>42</v>
      </c>
      <c r="E293" s="2" t="s">
        <v>664</v>
      </c>
      <c r="F293">
        <v>8</v>
      </c>
      <c r="G293">
        <v>161.94999999999999</v>
      </c>
      <c r="H293" t="s">
        <v>29</v>
      </c>
      <c r="I293" t="s">
        <v>23</v>
      </c>
      <c r="J293" s="1">
        <v>45110</v>
      </c>
      <c r="K293" t="s">
        <v>24</v>
      </c>
      <c r="L293" s="1">
        <v>45688</v>
      </c>
      <c r="M293" t="s">
        <v>50</v>
      </c>
      <c r="N293">
        <v>3</v>
      </c>
      <c r="O293">
        <v>1</v>
      </c>
      <c r="P293">
        <v>32</v>
      </c>
      <c r="Q293" t="s">
        <v>26</v>
      </c>
      <c r="R293">
        <f>IF(subscriptions[[#This Row],[churned]]="Yes",1,0)</f>
        <v>1</v>
      </c>
      <c r="S293">
        <f ca="1">IF(subscriptions[[#This Row],[churn_flag]]=1, DATEDIF(subscriptions[[#This Row],[signup_date]],subscriptions[[#This Row],[churn_date]],"M"), DATEDIF(subscriptions[[#This Row],[signup_date]],TODAY(),"M"))</f>
        <v>18</v>
      </c>
      <c r="T293">
        <f ca="1">subscriptions[[#This Row],[monthly_revenue]]*subscriptions[[#This Row],[customer_lifetime]]</f>
        <v>2915.1</v>
      </c>
      <c r="U293" t="str">
        <f>IF(subscriptions[[#This Row],[feature_usage_pct]]&lt;30,"High Risk",IF(subscriptions[[#This Row],[feature_usage_pct]]&lt;60,"Medium Risk","Low Risk"))</f>
        <v>Medium Risk</v>
      </c>
      <c r="V293">
        <f ca="1">subscriptions[[#This Row],[CLV]]/200</f>
        <v>14.5755</v>
      </c>
    </row>
    <row r="294" spans="1:22" x14ac:dyDescent="0.25">
      <c r="A294" t="s">
        <v>347</v>
      </c>
      <c r="B294" t="s">
        <v>18</v>
      </c>
      <c r="C294" t="s">
        <v>19</v>
      </c>
      <c r="D294" t="s">
        <v>32</v>
      </c>
      <c r="E294" s="2" t="s">
        <v>663</v>
      </c>
      <c r="F294">
        <v>24</v>
      </c>
      <c r="G294">
        <v>351.55</v>
      </c>
      <c r="H294" t="s">
        <v>29</v>
      </c>
      <c r="I294" t="s">
        <v>23</v>
      </c>
      <c r="J294" s="1">
        <v>44613</v>
      </c>
      <c r="K294" t="s">
        <v>24</v>
      </c>
      <c r="L294" s="1">
        <v>44784</v>
      </c>
      <c r="M294" t="s">
        <v>50</v>
      </c>
      <c r="N294">
        <v>8</v>
      </c>
      <c r="O294">
        <v>1</v>
      </c>
      <c r="P294">
        <v>35</v>
      </c>
      <c r="Q294" t="s">
        <v>26</v>
      </c>
      <c r="R294">
        <f>IF(subscriptions[[#This Row],[churned]]="Yes",1,0)</f>
        <v>1</v>
      </c>
      <c r="S294">
        <f ca="1">IF(subscriptions[[#This Row],[churn_flag]]=1, DATEDIF(subscriptions[[#This Row],[signup_date]],subscriptions[[#This Row],[churn_date]],"M"), DATEDIF(subscriptions[[#This Row],[signup_date]],TODAY(),"M"))</f>
        <v>5</v>
      </c>
      <c r="T294">
        <f ca="1">subscriptions[[#This Row],[monthly_revenue]]*subscriptions[[#This Row],[customer_lifetime]]</f>
        <v>1757.75</v>
      </c>
      <c r="U294" t="str">
        <f>IF(subscriptions[[#This Row],[feature_usage_pct]]&lt;30,"High Risk",IF(subscriptions[[#This Row],[feature_usage_pct]]&lt;60,"Medium Risk","Low Risk"))</f>
        <v>Medium Risk</v>
      </c>
      <c r="V294">
        <f ca="1">subscriptions[[#This Row],[CLV]]/200</f>
        <v>8.7887500000000003</v>
      </c>
    </row>
    <row r="295" spans="1:22" x14ac:dyDescent="0.25">
      <c r="A295" t="s">
        <v>348</v>
      </c>
      <c r="B295" t="s">
        <v>36</v>
      </c>
      <c r="C295" t="s">
        <v>19</v>
      </c>
      <c r="D295" t="s">
        <v>32</v>
      </c>
      <c r="E295" s="2" t="s">
        <v>21</v>
      </c>
      <c r="F295">
        <v>51</v>
      </c>
      <c r="G295">
        <v>1691.5</v>
      </c>
      <c r="H295" t="s">
        <v>43</v>
      </c>
      <c r="I295" t="s">
        <v>23</v>
      </c>
      <c r="J295" s="1">
        <v>45891</v>
      </c>
      <c r="K295" t="s">
        <v>24</v>
      </c>
      <c r="L295" s="1">
        <v>45975</v>
      </c>
      <c r="M295" t="s">
        <v>50</v>
      </c>
      <c r="N295">
        <v>1</v>
      </c>
      <c r="O295">
        <v>4</v>
      </c>
      <c r="P295">
        <v>25</v>
      </c>
      <c r="Q295" t="s">
        <v>26</v>
      </c>
      <c r="R295">
        <f>IF(subscriptions[[#This Row],[churned]]="Yes",1,0)</f>
        <v>1</v>
      </c>
      <c r="S295">
        <f ca="1">IF(subscriptions[[#This Row],[churn_flag]]=1, DATEDIF(subscriptions[[#This Row],[signup_date]],subscriptions[[#This Row],[churn_date]],"M"), DATEDIF(subscriptions[[#This Row],[signup_date]],TODAY(),"M"))</f>
        <v>2</v>
      </c>
      <c r="T295">
        <f ca="1">subscriptions[[#This Row],[monthly_revenue]]*subscriptions[[#This Row],[customer_lifetime]]</f>
        <v>3383</v>
      </c>
      <c r="U295" t="str">
        <f>IF(subscriptions[[#This Row],[feature_usage_pct]]&lt;30,"High Risk",IF(subscriptions[[#This Row],[feature_usage_pct]]&lt;60,"Medium Risk","Low Risk"))</f>
        <v>High Risk</v>
      </c>
      <c r="V295">
        <f ca="1">subscriptions[[#This Row],[CLV]]/200</f>
        <v>16.914999999999999</v>
      </c>
    </row>
    <row r="296" spans="1:22" x14ac:dyDescent="0.25">
      <c r="A296" t="s">
        <v>349</v>
      </c>
      <c r="B296" t="s">
        <v>31</v>
      </c>
      <c r="C296" t="s">
        <v>19</v>
      </c>
      <c r="D296" t="s">
        <v>40</v>
      </c>
      <c r="E296" s="2" t="s">
        <v>45</v>
      </c>
      <c r="F296">
        <v>34</v>
      </c>
      <c r="G296">
        <v>172.55</v>
      </c>
      <c r="H296" t="s">
        <v>43</v>
      </c>
      <c r="I296" t="s">
        <v>38</v>
      </c>
      <c r="J296" s="1">
        <v>44846</v>
      </c>
      <c r="K296" t="s">
        <v>24</v>
      </c>
      <c r="L296" s="1">
        <v>44863</v>
      </c>
      <c r="M296" t="s">
        <v>53</v>
      </c>
      <c r="N296">
        <v>6</v>
      </c>
      <c r="O296">
        <v>4</v>
      </c>
      <c r="P296">
        <v>12</v>
      </c>
      <c r="Q296" t="s">
        <v>26</v>
      </c>
      <c r="R296">
        <f>IF(subscriptions[[#This Row],[churned]]="Yes",1,0)</f>
        <v>1</v>
      </c>
      <c r="S296">
        <f ca="1">IF(subscriptions[[#This Row],[churn_flag]]=1, DATEDIF(subscriptions[[#This Row],[signup_date]],subscriptions[[#This Row],[churn_date]],"M"), DATEDIF(subscriptions[[#This Row],[signup_date]],TODAY(),"M"))</f>
        <v>0</v>
      </c>
      <c r="T296">
        <f ca="1">subscriptions[[#This Row],[monthly_revenue]]*subscriptions[[#This Row],[customer_lifetime]]</f>
        <v>0</v>
      </c>
      <c r="U296" t="str">
        <f>IF(subscriptions[[#This Row],[feature_usage_pct]]&lt;30,"High Risk",IF(subscriptions[[#This Row],[feature_usage_pct]]&lt;60,"Medium Risk","Low Risk"))</f>
        <v>High Risk</v>
      </c>
      <c r="V296">
        <f ca="1">subscriptions[[#This Row],[CLV]]/200</f>
        <v>0</v>
      </c>
    </row>
    <row r="297" spans="1:22" x14ac:dyDescent="0.25">
      <c r="A297" t="s">
        <v>350</v>
      </c>
      <c r="B297" t="s">
        <v>31</v>
      </c>
      <c r="C297" t="s">
        <v>19</v>
      </c>
      <c r="D297" t="s">
        <v>62</v>
      </c>
      <c r="E297" s="2" t="s">
        <v>45</v>
      </c>
      <c r="F297">
        <v>146</v>
      </c>
      <c r="G297">
        <v>659.75</v>
      </c>
      <c r="H297" t="s">
        <v>34</v>
      </c>
      <c r="I297" t="s">
        <v>23</v>
      </c>
      <c r="J297" s="1">
        <v>45218</v>
      </c>
      <c r="K297" t="s">
        <v>24</v>
      </c>
      <c r="L297" s="1">
        <v>45240</v>
      </c>
      <c r="M297" t="s">
        <v>25</v>
      </c>
      <c r="N297">
        <v>8</v>
      </c>
      <c r="O297">
        <v>3</v>
      </c>
      <c r="P297">
        <v>13</v>
      </c>
      <c r="Q297" t="s">
        <v>26</v>
      </c>
      <c r="R297">
        <f>IF(subscriptions[[#This Row],[churned]]="Yes",1,0)</f>
        <v>1</v>
      </c>
      <c r="S297">
        <f ca="1">IF(subscriptions[[#This Row],[churn_flag]]=1, DATEDIF(subscriptions[[#This Row],[signup_date]],subscriptions[[#This Row],[churn_date]],"M"), DATEDIF(subscriptions[[#This Row],[signup_date]],TODAY(),"M"))</f>
        <v>0</v>
      </c>
      <c r="T297">
        <f ca="1">subscriptions[[#This Row],[monthly_revenue]]*subscriptions[[#This Row],[customer_lifetime]]</f>
        <v>0</v>
      </c>
      <c r="U297" t="str">
        <f>IF(subscriptions[[#This Row],[feature_usage_pct]]&lt;30,"High Risk",IF(subscriptions[[#This Row],[feature_usage_pct]]&lt;60,"Medium Risk","Low Risk"))</f>
        <v>High Risk</v>
      </c>
      <c r="V297">
        <f ca="1">subscriptions[[#This Row],[CLV]]/200</f>
        <v>0</v>
      </c>
    </row>
    <row r="298" spans="1:22" x14ac:dyDescent="0.25">
      <c r="A298" t="s">
        <v>351</v>
      </c>
      <c r="B298" t="s">
        <v>36</v>
      </c>
      <c r="C298" t="s">
        <v>19</v>
      </c>
      <c r="D298" t="s">
        <v>42</v>
      </c>
      <c r="E298" s="2" t="s">
        <v>21</v>
      </c>
      <c r="F298">
        <v>36</v>
      </c>
      <c r="G298">
        <v>1243.75</v>
      </c>
      <c r="H298" t="s">
        <v>60</v>
      </c>
      <c r="I298" t="s">
        <v>23</v>
      </c>
      <c r="J298" s="1">
        <v>45645</v>
      </c>
      <c r="K298" t="s">
        <v>26</v>
      </c>
      <c r="N298">
        <v>6</v>
      </c>
      <c r="O298">
        <v>10</v>
      </c>
      <c r="P298">
        <v>82</v>
      </c>
      <c r="Q298" t="s">
        <v>26</v>
      </c>
      <c r="R298">
        <f>IF(subscriptions[[#This Row],[churned]]="Yes",1,0)</f>
        <v>0</v>
      </c>
      <c r="S298">
        <f ca="1">IF(subscriptions[[#This Row],[churn_flag]]=1, DATEDIF(subscriptions[[#This Row],[signup_date]],subscriptions[[#This Row],[churn_date]],"M"), DATEDIF(subscriptions[[#This Row],[signup_date]],TODAY(),"M"))</f>
        <v>16</v>
      </c>
      <c r="T298">
        <f ca="1">subscriptions[[#This Row],[monthly_revenue]]*subscriptions[[#This Row],[customer_lifetime]]</f>
        <v>19900</v>
      </c>
      <c r="U298" t="str">
        <f>IF(subscriptions[[#This Row],[feature_usage_pct]]&lt;30,"High Risk",IF(subscriptions[[#This Row],[feature_usage_pct]]&lt;60,"Medium Risk","Low Risk"))</f>
        <v>Low Risk</v>
      </c>
      <c r="V298">
        <f ca="1">subscriptions[[#This Row],[CLV]]/200</f>
        <v>99.5</v>
      </c>
    </row>
    <row r="299" spans="1:22" x14ac:dyDescent="0.25">
      <c r="A299" t="s">
        <v>352</v>
      </c>
      <c r="B299" t="s">
        <v>31</v>
      </c>
      <c r="C299" t="s">
        <v>19</v>
      </c>
      <c r="D299" t="s">
        <v>62</v>
      </c>
      <c r="E299" s="2" t="s">
        <v>21</v>
      </c>
      <c r="F299">
        <v>70</v>
      </c>
      <c r="G299">
        <v>329.15</v>
      </c>
      <c r="H299" t="s">
        <v>29</v>
      </c>
      <c r="I299" t="s">
        <v>69</v>
      </c>
      <c r="J299" s="1">
        <v>45105</v>
      </c>
      <c r="K299" t="s">
        <v>24</v>
      </c>
      <c r="L299" s="1">
        <v>45531</v>
      </c>
      <c r="M299" t="s">
        <v>53</v>
      </c>
      <c r="N299">
        <v>15</v>
      </c>
      <c r="O299">
        <v>2</v>
      </c>
      <c r="P299">
        <v>11</v>
      </c>
      <c r="Q299" t="s">
        <v>26</v>
      </c>
      <c r="R299">
        <f>IF(subscriptions[[#This Row],[churned]]="Yes",1,0)</f>
        <v>1</v>
      </c>
      <c r="S299">
        <f ca="1">IF(subscriptions[[#This Row],[churn_flag]]=1, DATEDIF(subscriptions[[#This Row],[signup_date]],subscriptions[[#This Row],[churn_date]],"M"), DATEDIF(subscriptions[[#This Row],[signup_date]],TODAY(),"M"))</f>
        <v>13</v>
      </c>
      <c r="T299">
        <f ca="1">subscriptions[[#This Row],[monthly_revenue]]*subscriptions[[#This Row],[customer_lifetime]]</f>
        <v>4278.95</v>
      </c>
      <c r="U299" t="str">
        <f>IF(subscriptions[[#This Row],[feature_usage_pct]]&lt;30,"High Risk",IF(subscriptions[[#This Row],[feature_usage_pct]]&lt;60,"Medium Risk","Low Risk"))</f>
        <v>High Risk</v>
      </c>
      <c r="V299">
        <f ca="1">subscriptions[[#This Row],[CLV]]/200</f>
        <v>21.394749999999998</v>
      </c>
    </row>
    <row r="300" spans="1:22" x14ac:dyDescent="0.25">
      <c r="A300" t="s">
        <v>353</v>
      </c>
      <c r="B300" t="s">
        <v>36</v>
      </c>
      <c r="C300" t="s">
        <v>19</v>
      </c>
      <c r="D300" t="s">
        <v>20</v>
      </c>
      <c r="E300" s="2" t="s">
        <v>663</v>
      </c>
      <c r="F300">
        <v>13</v>
      </c>
      <c r="G300">
        <v>557.20000000000005</v>
      </c>
      <c r="H300" t="s">
        <v>22</v>
      </c>
      <c r="I300" t="s">
        <v>23</v>
      </c>
      <c r="J300" s="1">
        <v>44680</v>
      </c>
      <c r="K300" t="s">
        <v>24</v>
      </c>
      <c r="L300" s="1">
        <v>44757</v>
      </c>
      <c r="M300" t="s">
        <v>25</v>
      </c>
      <c r="N300">
        <v>6</v>
      </c>
      <c r="O300">
        <v>6</v>
      </c>
      <c r="P300">
        <v>43</v>
      </c>
      <c r="Q300" t="s">
        <v>26</v>
      </c>
      <c r="R300">
        <f>IF(subscriptions[[#This Row],[churned]]="Yes",1,0)</f>
        <v>1</v>
      </c>
      <c r="S300">
        <f ca="1">IF(subscriptions[[#This Row],[churn_flag]]=1, DATEDIF(subscriptions[[#This Row],[signup_date]],subscriptions[[#This Row],[churn_date]],"M"), DATEDIF(subscriptions[[#This Row],[signup_date]],TODAY(),"M"))</f>
        <v>2</v>
      </c>
      <c r="T300">
        <f ca="1">subscriptions[[#This Row],[monthly_revenue]]*subscriptions[[#This Row],[customer_lifetime]]</f>
        <v>1114.4000000000001</v>
      </c>
      <c r="U300" t="str">
        <f>IF(subscriptions[[#This Row],[feature_usage_pct]]&lt;30,"High Risk",IF(subscriptions[[#This Row],[feature_usage_pct]]&lt;60,"Medium Risk","Low Risk"))</f>
        <v>Medium Risk</v>
      </c>
      <c r="V300">
        <f ca="1">subscriptions[[#This Row],[CLV]]/200</f>
        <v>5.5720000000000001</v>
      </c>
    </row>
    <row r="301" spans="1:22" x14ac:dyDescent="0.25">
      <c r="A301" t="s">
        <v>354</v>
      </c>
      <c r="B301" t="s">
        <v>31</v>
      </c>
      <c r="C301" t="s">
        <v>19</v>
      </c>
      <c r="D301" t="s">
        <v>40</v>
      </c>
      <c r="E301" s="2" t="s">
        <v>663</v>
      </c>
      <c r="F301">
        <v>23</v>
      </c>
      <c r="G301">
        <v>124.7</v>
      </c>
      <c r="H301" t="s">
        <v>60</v>
      </c>
      <c r="I301" t="s">
        <v>38</v>
      </c>
      <c r="J301" s="1">
        <v>45814</v>
      </c>
      <c r="K301" t="s">
        <v>26</v>
      </c>
      <c r="N301">
        <v>11</v>
      </c>
      <c r="O301">
        <v>10</v>
      </c>
      <c r="P301">
        <v>44</v>
      </c>
      <c r="Q301" t="s">
        <v>26</v>
      </c>
      <c r="R301">
        <f>IF(subscriptions[[#This Row],[churned]]="Yes",1,0)</f>
        <v>0</v>
      </c>
      <c r="S301">
        <f ca="1">IF(subscriptions[[#This Row],[churn_flag]]=1, DATEDIF(subscriptions[[#This Row],[signup_date]],subscriptions[[#This Row],[churn_date]],"M"), DATEDIF(subscriptions[[#This Row],[signup_date]],TODAY(),"M"))</f>
        <v>11</v>
      </c>
      <c r="T301">
        <f ca="1">subscriptions[[#This Row],[monthly_revenue]]*subscriptions[[#This Row],[customer_lifetime]]</f>
        <v>1371.7</v>
      </c>
      <c r="U301" t="str">
        <f>IF(subscriptions[[#This Row],[feature_usage_pct]]&lt;30,"High Risk",IF(subscriptions[[#This Row],[feature_usage_pct]]&lt;60,"Medium Risk","Low Risk"))</f>
        <v>Medium Risk</v>
      </c>
      <c r="V301">
        <f ca="1">subscriptions[[#This Row],[CLV]]/200</f>
        <v>6.8585000000000003</v>
      </c>
    </row>
    <row r="302" spans="1:22" x14ac:dyDescent="0.25">
      <c r="A302" t="s">
        <v>355</v>
      </c>
      <c r="B302" t="s">
        <v>18</v>
      </c>
      <c r="C302" t="s">
        <v>28</v>
      </c>
      <c r="D302" t="s">
        <v>68</v>
      </c>
      <c r="E302" s="2" t="s">
        <v>45</v>
      </c>
      <c r="F302">
        <v>108</v>
      </c>
      <c r="G302">
        <v>1144.9100000000001</v>
      </c>
      <c r="H302" t="s">
        <v>22</v>
      </c>
      <c r="I302" t="s">
        <v>23</v>
      </c>
      <c r="J302" s="1">
        <v>45640</v>
      </c>
      <c r="K302" t="s">
        <v>26</v>
      </c>
      <c r="N302">
        <v>3</v>
      </c>
      <c r="O302">
        <v>6</v>
      </c>
      <c r="P302">
        <v>32</v>
      </c>
      <c r="Q302" t="s">
        <v>24</v>
      </c>
      <c r="R302">
        <f>IF(subscriptions[[#This Row],[churned]]="Yes",1,0)</f>
        <v>0</v>
      </c>
      <c r="S302">
        <f ca="1">IF(subscriptions[[#This Row],[churn_flag]]=1, DATEDIF(subscriptions[[#This Row],[signup_date]],subscriptions[[#This Row],[churn_date]],"M"), DATEDIF(subscriptions[[#This Row],[signup_date]],TODAY(),"M"))</f>
        <v>16</v>
      </c>
      <c r="T302">
        <f ca="1">subscriptions[[#This Row],[monthly_revenue]]*subscriptions[[#This Row],[customer_lifetime]]</f>
        <v>18318.560000000001</v>
      </c>
      <c r="U302" t="str">
        <f>IF(subscriptions[[#This Row],[feature_usage_pct]]&lt;30,"High Risk",IF(subscriptions[[#This Row],[feature_usage_pct]]&lt;60,"Medium Risk","Low Risk"))</f>
        <v>Medium Risk</v>
      </c>
      <c r="V302">
        <f ca="1">subscriptions[[#This Row],[CLV]]/200</f>
        <v>91.592800000000011</v>
      </c>
    </row>
    <row r="303" spans="1:22" x14ac:dyDescent="0.25">
      <c r="A303" t="s">
        <v>356</v>
      </c>
      <c r="B303" t="s">
        <v>36</v>
      </c>
      <c r="C303" t="s">
        <v>28</v>
      </c>
      <c r="D303" t="s">
        <v>32</v>
      </c>
      <c r="E303" s="2" t="s">
        <v>663</v>
      </c>
      <c r="F303">
        <v>19</v>
      </c>
      <c r="G303">
        <v>625.86</v>
      </c>
      <c r="H303" t="s">
        <v>60</v>
      </c>
      <c r="I303" t="s">
        <v>23</v>
      </c>
      <c r="J303" s="1">
        <v>45024</v>
      </c>
      <c r="K303" t="s">
        <v>26</v>
      </c>
      <c r="N303">
        <v>8</v>
      </c>
      <c r="O303">
        <v>10</v>
      </c>
      <c r="P303">
        <v>53</v>
      </c>
      <c r="Q303" t="s">
        <v>26</v>
      </c>
      <c r="R303">
        <f>IF(subscriptions[[#This Row],[churned]]="Yes",1,0)</f>
        <v>0</v>
      </c>
      <c r="S303">
        <f ca="1">IF(subscriptions[[#This Row],[churn_flag]]=1, DATEDIF(subscriptions[[#This Row],[signup_date]],subscriptions[[#This Row],[churn_date]],"M"), DATEDIF(subscriptions[[#This Row],[signup_date]],TODAY(),"M"))</f>
        <v>37</v>
      </c>
      <c r="T303">
        <f ca="1">subscriptions[[#This Row],[monthly_revenue]]*subscriptions[[#This Row],[customer_lifetime]]</f>
        <v>23156.82</v>
      </c>
      <c r="U303" t="str">
        <f>IF(subscriptions[[#This Row],[feature_usage_pct]]&lt;30,"High Risk",IF(subscriptions[[#This Row],[feature_usage_pct]]&lt;60,"Medium Risk","Low Risk"))</f>
        <v>Medium Risk</v>
      </c>
      <c r="V303">
        <f ca="1">subscriptions[[#This Row],[CLV]]/200</f>
        <v>115.7841</v>
      </c>
    </row>
    <row r="304" spans="1:22" x14ac:dyDescent="0.25">
      <c r="A304" t="s">
        <v>357</v>
      </c>
      <c r="B304" t="s">
        <v>36</v>
      </c>
      <c r="C304" t="s">
        <v>28</v>
      </c>
      <c r="D304" t="s">
        <v>79</v>
      </c>
      <c r="E304" s="2" t="s">
        <v>663</v>
      </c>
      <c r="F304">
        <v>22</v>
      </c>
      <c r="G304">
        <v>701.97</v>
      </c>
      <c r="H304" t="s">
        <v>98</v>
      </c>
      <c r="I304" t="s">
        <v>69</v>
      </c>
      <c r="J304" s="1">
        <v>44585</v>
      </c>
      <c r="K304" t="s">
        <v>24</v>
      </c>
      <c r="L304" s="1">
        <v>45272</v>
      </c>
      <c r="M304" t="s">
        <v>46</v>
      </c>
      <c r="N304">
        <v>1</v>
      </c>
      <c r="O304">
        <v>5</v>
      </c>
      <c r="P304">
        <v>10</v>
      </c>
      <c r="Q304" t="s">
        <v>26</v>
      </c>
      <c r="R304">
        <f>IF(subscriptions[[#This Row],[churned]]="Yes",1,0)</f>
        <v>1</v>
      </c>
      <c r="S304">
        <f ca="1">IF(subscriptions[[#This Row],[churn_flag]]=1, DATEDIF(subscriptions[[#This Row],[signup_date]],subscriptions[[#This Row],[churn_date]],"M"), DATEDIF(subscriptions[[#This Row],[signup_date]],TODAY(),"M"))</f>
        <v>22</v>
      </c>
      <c r="T304">
        <f ca="1">subscriptions[[#This Row],[monthly_revenue]]*subscriptions[[#This Row],[customer_lifetime]]</f>
        <v>15443.34</v>
      </c>
      <c r="U304" t="str">
        <f>IF(subscriptions[[#This Row],[feature_usage_pct]]&lt;30,"High Risk",IF(subscriptions[[#This Row],[feature_usage_pct]]&lt;60,"Medium Risk","Low Risk"))</f>
        <v>High Risk</v>
      </c>
      <c r="V304">
        <f ca="1">subscriptions[[#This Row],[CLV]]/200</f>
        <v>77.216700000000003</v>
      </c>
    </row>
    <row r="305" spans="1:22" x14ac:dyDescent="0.25">
      <c r="A305" t="s">
        <v>358</v>
      </c>
      <c r="B305" t="s">
        <v>18</v>
      </c>
      <c r="C305" t="s">
        <v>28</v>
      </c>
      <c r="D305" t="s">
        <v>49</v>
      </c>
      <c r="E305" s="2" t="s">
        <v>663</v>
      </c>
      <c r="F305">
        <v>29</v>
      </c>
      <c r="G305">
        <v>349.18</v>
      </c>
      <c r="H305" t="s">
        <v>43</v>
      </c>
      <c r="I305" t="s">
        <v>23</v>
      </c>
      <c r="J305" s="1">
        <v>44898</v>
      </c>
      <c r="K305" t="s">
        <v>24</v>
      </c>
      <c r="L305" s="1">
        <v>44976</v>
      </c>
      <c r="M305" t="s">
        <v>63</v>
      </c>
      <c r="N305">
        <v>14</v>
      </c>
      <c r="O305">
        <v>3</v>
      </c>
      <c r="P305">
        <v>32</v>
      </c>
      <c r="Q305" t="s">
        <v>26</v>
      </c>
      <c r="R305">
        <f>IF(subscriptions[[#This Row],[churned]]="Yes",1,0)</f>
        <v>1</v>
      </c>
      <c r="S305">
        <f ca="1">IF(subscriptions[[#This Row],[churn_flag]]=1, DATEDIF(subscriptions[[#This Row],[signup_date]],subscriptions[[#This Row],[churn_date]],"M"), DATEDIF(subscriptions[[#This Row],[signup_date]],TODAY(),"M"))</f>
        <v>2</v>
      </c>
      <c r="T305">
        <f ca="1">subscriptions[[#This Row],[monthly_revenue]]*subscriptions[[#This Row],[customer_lifetime]]</f>
        <v>698.36</v>
      </c>
      <c r="U305" t="str">
        <f>IF(subscriptions[[#This Row],[feature_usage_pct]]&lt;30,"High Risk",IF(subscriptions[[#This Row],[feature_usage_pct]]&lt;60,"Medium Risk","Low Risk"))</f>
        <v>Medium Risk</v>
      </c>
      <c r="V305">
        <f ca="1">subscriptions[[#This Row],[CLV]]/200</f>
        <v>3.4918</v>
      </c>
    </row>
    <row r="306" spans="1:22" x14ac:dyDescent="0.25">
      <c r="A306" t="s">
        <v>359</v>
      </c>
      <c r="B306" t="s">
        <v>36</v>
      </c>
      <c r="C306" t="s">
        <v>19</v>
      </c>
      <c r="D306" t="s">
        <v>40</v>
      </c>
      <c r="E306" s="2" t="s">
        <v>45</v>
      </c>
      <c r="F306">
        <v>99</v>
      </c>
      <c r="G306">
        <v>3124.3</v>
      </c>
      <c r="H306" t="s">
        <v>34</v>
      </c>
      <c r="I306" t="s">
        <v>23</v>
      </c>
      <c r="J306" s="1">
        <v>45712</v>
      </c>
      <c r="K306" t="s">
        <v>26</v>
      </c>
      <c r="N306">
        <v>8</v>
      </c>
      <c r="O306">
        <v>7</v>
      </c>
      <c r="P306">
        <v>17</v>
      </c>
      <c r="Q306" t="s">
        <v>26</v>
      </c>
      <c r="R306">
        <f>IF(subscriptions[[#This Row],[churned]]="Yes",1,0)</f>
        <v>0</v>
      </c>
      <c r="S306">
        <f ca="1">IF(subscriptions[[#This Row],[churn_flag]]=1, DATEDIF(subscriptions[[#This Row],[signup_date]],subscriptions[[#This Row],[churn_date]],"M"), DATEDIF(subscriptions[[#This Row],[signup_date]],TODAY(),"M"))</f>
        <v>14</v>
      </c>
      <c r="T306">
        <f ca="1">subscriptions[[#This Row],[monthly_revenue]]*subscriptions[[#This Row],[customer_lifetime]]</f>
        <v>43740.200000000004</v>
      </c>
      <c r="U306" t="str">
        <f>IF(subscriptions[[#This Row],[feature_usage_pct]]&lt;30,"High Risk",IF(subscriptions[[#This Row],[feature_usage_pct]]&lt;60,"Medium Risk","Low Risk"))</f>
        <v>High Risk</v>
      </c>
      <c r="V306">
        <f ca="1">subscriptions[[#This Row],[CLV]]/200</f>
        <v>218.70100000000002</v>
      </c>
    </row>
    <row r="307" spans="1:22" x14ac:dyDescent="0.25">
      <c r="A307" t="s">
        <v>360</v>
      </c>
      <c r="B307" t="s">
        <v>36</v>
      </c>
      <c r="C307" t="s">
        <v>19</v>
      </c>
      <c r="D307" t="s">
        <v>68</v>
      </c>
      <c r="E307" s="2" t="s">
        <v>663</v>
      </c>
      <c r="F307">
        <v>26</v>
      </c>
      <c r="G307">
        <v>945.25</v>
      </c>
      <c r="H307" t="s">
        <v>22</v>
      </c>
      <c r="I307" t="s">
        <v>38</v>
      </c>
      <c r="J307" s="1">
        <v>45641</v>
      </c>
      <c r="K307" t="s">
        <v>26</v>
      </c>
      <c r="N307">
        <v>4</v>
      </c>
      <c r="O307">
        <v>6</v>
      </c>
      <c r="P307">
        <v>41</v>
      </c>
      <c r="Q307" t="s">
        <v>26</v>
      </c>
      <c r="R307">
        <f>IF(subscriptions[[#This Row],[churned]]="Yes",1,0)</f>
        <v>0</v>
      </c>
      <c r="S307">
        <f ca="1">IF(subscriptions[[#This Row],[churn_flag]]=1, DATEDIF(subscriptions[[#This Row],[signup_date]],subscriptions[[#This Row],[churn_date]],"M"), DATEDIF(subscriptions[[#This Row],[signup_date]],TODAY(),"M"))</f>
        <v>16</v>
      </c>
      <c r="T307">
        <f ca="1">subscriptions[[#This Row],[monthly_revenue]]*subscriptions[[#This Row],[customer_lifetime]]</f>
        <v>15124</v>
      </c>
      <c r="U307" t="str">
        <f>IF(subscriptions[[#This Row],[feature_usage_pct]]&lt;30,"High Risk",IF(subscriptions[[#This Row],[feature_usage_pct]]&lt;60,"Medium Risk","Low Risk"))</f>
        <v>Medium Risk</v>
      </c>
      <c r="V307">
        <f ca="1">subscriptions[[#This Row],[CLV]]/200</f>
        <v>75.62</v>
      </c>
    </row>
    <row r="308" spans="1:22" x14ac:dyDescent="0.25">
      <c r="A308" t="s">
        <v>361</v>
      </c>
      <c r="B308" t="s">
        <v>71</v>
      </c>
      <c r="C308" t="s">
        <v>28</v>
      </c>
      <c r="D308" t="s">
        <v>40</v>
      </c>
      <c r="E308" s="2" t="s">
        <v>21</v>
      </c>
      <c r="F308">
        <v>50</v>
      </c>
      <c r="G308">
        <v>3541.65</v>
      </c>
      <c r="H308" t="s">
        <v>22</v>
      </c>
      <c r="I308" t="s">
        <v>23</v>
      </c>
      <c r="J308" s="1">
        <v>45697</v>
      </c>
      <c r="K308" t="s">
        <v>26</v>
      </c>
      <c r="N308">
        <v>9</v>
      </c>
      <c r="O308">
        <v>9</v>
      </c>
      <c r="P308">
        <v>36</v>
      </c>
      <c r="Q308" t="s">
        <v>26</v>
      </c>
      <c r="R308">
        <f>IF(subscriptions[[#This Row],[churned]]="Yes",1,0)</f>
        <v>0</v>
      </c>
      <c r="S308">
        <f ca="1">IF(subscriptions[[#This Row],[churn_flag]]=1, DATEDIF(subscriptions[[#This Row],[signup_date]],subscriptions[[#This Row],[churn_date]],"M"), DATEDIF(subscriptions[[#This Row],[signup_date]],TODAY(),"M"))</f>
        <v>15</v>
      </c>
      <c r="T308">
        <f ca="1">subscriptions[[#This Row],[monthly_revenue]]*subscriptions[[#This Row],[customer_lifetime]]</f>
        <v>53124.75</v>
      </c>
      <c r="U308" t="str">
        <f>IF(subscriptions[[#This Row],[feature_usage_pct]]&lt;30,"High Risk",IF(subscriptions[[#This Row],[feature_usage_pct]]&lt;60,"Medium Risk","Low Risk"))</f>
        <v>Medium Risk</v>
      </c>
      <c r="V308">
        <f ca="1">subscriptions[[#This Row],[CLV]]/200</f>
        <v>265.62374999999997</v>
      </c>
    </row>
    <row r="309" spans="1:22" x14ac:dyDescent="0.25">
      <c r="A309" t="s">
        <v>362</v>
      </c>
      <c r="B309" t="s">
        <v>36</v>
      </c>
      <c r="C309" t="s">
        <v>28</v>
      </c>
      <c r="D309" t="s">
        <v>79</v>
      </c>
      <c r="E309" s="2" t="s">
        <v>663</v>
      </c>
      <c r="F309">
        <v>21</v>
      </c>
      <c r="G309">
        <v>676.6</v>
      </c>
      <c r="H309" t="s">
        <v>60</v>
      </c>
      <c r="I309" t="s">
        <v>23</v>
      </c>
      <c r="J309" s="1">
        <v>45920</v>
      </c>
      <c r="K309" t="s">
        <v>26</v>
      </c>
      <c r="N309">
        <v>0</v>
      </c>
      <c r="O309">
        <v>8</v>
      </c>
      <c r="P309">
        <v>91</v>
      </c>
      <c r="Q309" t="s">
        <v>26</v>
      </c>
      <c r="R309">
        <f>IF(subscriptions[[#This Row],[churned]]="Yes",1,0)</f>
        <v>0</v>
      </c>
      <c r="S309">
        <f ca="1">IF(subscriptions[[#This Row],[churn_flag]]=1, DATEDIF(subscriptions[[#This Row],[signup_date]],subscriptions[[#This Row],[churn_date]],"M"), DATEDIF(subscriptions[[#This Row],[signup_date]],TODAY(),"M"))</f>
        <v>7</v>
      </c>
      <c r="T309">
        <f ca="1">subscriptions[[#This Row],[monthly_revenue]]*subscriptions[[#This Row],[customer_lifetime]]</f>
        <v>4736.2</v>
      </c>
      <c r="U309" t="str">
        <f>IF(subscriptions[[#This Row],[feature_usage_pct]]&lt;30,"High Risk",IF(subscriptions[[#This Row],[feature_usage_pct]]&lt;60,"Medium Risk","Low Risk"))</f>
        <v>Low Risk</v>
      </c>
      <c r="V309">
        <f ca="1">subscriptions[[#This Row],[CLV]]/200</f>
        <v>23.680999999999997</v>
      </c>
    </row>
    <row r="310" spans="1:22" x14ac:dyDescent="0.25">
      <c r="A310" t="s">
        <v>363</v>
      </c>
      <c r="B310" t="s">
        <v>31</v>
      </c>
      <c r="C310" t="s">
        <v>28</v>
      </c>
      <c r="D310" t="s">
        <v>40</v>
      </c>
      <c r="E310" s="2" t="s">
        <v>664</v>
      </c>
      <c r="F310">
        <v>7</v>
      </c>
      <c r="G310">
        <v>46.83</v>
      </c>
      <c r="H310" t="s">
        <v>60</v>
      </c>
      <c r="I310" t="s">
        <v>23</v>
      </c>
      <c r="J310" s="1">
        <v>45172</v>
      </c>
      <c r="K310" t="s">
        <v>24</v>
      </c>
      <c r="L310" s="1">
        <v>45300</v>
      </c>
      <c r="M310" t="s">
        <v>46</v>
      </c>
      <c r="N310">
        <v>5</v>
      </c>
      <c r="O310">
        <v>2</v>
      </c>
      <c r="P310">
        <v>41</v>
      </c>
      <c r="Q310" t="s">
        <v>26</v>
      </c>
      <c r="R310">
        <f>IF(subscriptions[[#This Row],[churned]]="Yes",1,0)</f>
        <v>1</v>
      </c>
      <c r="S310">
        <f ca="1">IF(subscriptions[[#This Row],[churn_flag]]=1, DATEDIF(subscriptions[[#This Row],[signup_date]],subscriptions[[#This Row],[churn_date]],"M"), DATEDIF(subscriptions[[#This Row],[signup_date]],TODAY(),"M"))</f>
        <v>4</v>
      </c>
      <c r="T310">
        <f ca="1">subscriptions[[#This Row],[monthly_revenue]]*subscriptions[[#This Row],[customer_lifetime]]</f>
        <v>187.32</v>
      </c>
      <c r="U310" t="str">
        <f>IF(subscriptions[[#This Row],[feature_usage_pct]]&lt;30,"High Risk",IF(subscriptions[[#This Row],[feature_usage_pct]]&lt;60,"Medium Risk","Low Risk"))</f>
        <v>Medium Risk</v>
      </c>
      <c r="V310">
        <f ca="1">subscriptions[[#This Row],[CLV]]/200</f>
        <v>0.93659999999999999</v>
      </c>
    </row>
    <row r="311" spans="1:22" x14ac:dyDescent="0.25">
      <c r="A311" t="s">
        <v>364</v>
      </c>
      <c r="B311" t="s">
        <v>31</v>
      </c>
      <c r="C311" t="s">
        <v>19</v>
      </c>
      <c r="D311" t="s">
        <v>68</v>
      </c>
      <c r="E311" s="2" t="s">
        <v>45</v>
      </c>
      <c r="F311">
        <v>71</v>
      </c>
      <c r="G311">
        <v>333.5</v>
      </c>
      <c r="H311" t="s">
        <v>29</v>
      </c>
      <c r="I311" t="s">
        <v>38</v>
      </c>
      <c r="J311" s="1">
        <v>45115</v>
      </c>
      <c r="K311" t="s">
        <v>24</v>
      </c>
      <c r="L311" s="1">
        <v>45333</v>
      </c>
      <c r="M311" t="s">
        <v>63</v>
      </c>
      <c r="N311">
        <v>1</v>
      </c>
      <c r="O311">
        <v>3</v>
      </c>
      <c r="P311">
        <v>14</v>
      </c>
      <c r="Q311" t="s">
        <v>26</v>
      </c>
      <c r="R311">
        <f>IF(subscriptions[[#This Row],[churned]]="Yes",1,0)</f>
        <v>1</v>
      </c>
      <c r="S311">
        <f ca="1">IF(subscriptions[[#This Row],[churn_flag]]=1, DATEDIF(subscriptions[[#This Row],[signup_date]],subscriptions[[#This Row],[churn_date]],"M"), DATEDIF(subscriptions[[#This Row],[signup_date]],TODAY(),"M"))</f>
        <v>7</v>
      </c>
      <c r="T311">
        <f ca="1">subscriptions[[#This Row],[monthly_revenue]]*subscriptions[[#This Row],[customer_lifetime]]</f>
        <v>2334.5</v>
      </c>
      <c r="U311" t="str">
        <f>IF(subscriptions[[#This Row],[feature_usage_pct]]&lt;30,"High Risk",IF(subscriptions[[#This Row],[feature_usage_pct]]&lt;60,"Medium Risk","Low Risk"))</f>
        <v>High Risk</v>
      </c>
      <c r="V311">
        <f ca="1">subscriptions[[#This Row],[CLV]]/200</f>
        <v>11.672499999999999</v>
      </c>
    </row>
    <row r="312" spans="1:22" x14ac:dyDescent="0.25">
      <c r="A312" t="s">
        <v>365</v>
      </c>
      <c r="B312" t="s">
        <v>18</v>
      </c>
      <c r="C312" t="s">
        <v>28</v>
      </c>
      <c r="D312" t="s">
        <v>32</v>
      </c>
      <c r="E312" s="2" t="s">
        <v>33</v>
      </c>
      <c r="F312">
        <v>290</v>
      </c>
      <c r="G312">
        <v>2978.1</v>
      </c>
      <c r="H312" t="s">
        <v>43</v>
      </c>
      <c r="I312" t="s">
        <v>23</v>
      </c>
      <c r="J312" s="1">
        <v>45337</v>
      </c>
      <c r="K312" t="s">
        <v>26</v>
      </c>
      <c r="N312">
        <v>9</v>
      </c>
      <c r="O312">
        <v>9</v>
      </c>
      <c r="P312">
        <v>39</v>
      </c>
      <c r="Q312" t="s">
        <v>26</v>
      </c>
      <c r="R312">
        <f>IF(subscriptions[[#This Row],[churned]]="Yes",1,0)</f>
        <v>0</v>
      </c>
      <c r="S312">
        <f ca="1">IF(subscriptions[[#This Row],[churn_flag]]=1, DATEDIF(subscriptions[[#This Row],[signup_date]],subscriptions[[#This Row],[churn_date]],"M"), DATEDIF(subscriptions[[#This Row],[signup_date]],TODAY(),"M"))</f>
        <v>26</v>
      </c>
      <c r="T312">
        <f ca="1">subscriptions[[#This Row],[monthly_revenue]]*subscriptions[[#This Row],[customer_lifetime]]</f>
        <v>77430.599999999991</v>
      </c>
      <c r="U312" t="str">
        <f>IF(subscriptions[[#This Row],[feature_usage_pct]]&lt;30,"High Risk",IF(subscriptions[[#This Row],[feature_usage_pct]]&lt;60,"Medium Risk","Low Risk"))</f>
        <v>Medium Risk</v>
      </c>
      <c r="V312">
        <f ca="1">subscriptions[[#This Row],[CLV]]/200</f>
        <v>387.15299999999996</v>
      </c>
    </row>
    <row r="313" spans="1:22" x14ac:dyDescent="0.25">
      <c r="A313" t="s">
        <v>366</v>
      </c>
      <c r="B313" t="s">
        <v>31</v>
      </c>
      <c r="C313" t="s">
        <v>28</v>
      </c>
      <c r="D313" t="s">
        <v>37</v>
      </c>
      <c r="E313" s="2" t="s">
        <v>45</v>
      </c>
      <c r="F313">
        <v>36</v>
      </c>
      <c r="G313">
        <v>154.06</v>
      </c>
      <c r="H313" t="s">
        <v>34</v>
      </c>
      <c r="I313" t="s">
        <v>55</v>
      </c>
      <c r="J313" s="1">
        <v>45357</v>
      </c>
      <c r="K313" t="s">
        <v>24</v>
      </c>
      <c r="L313" s="1">
        <v>45536</v>
      </c>
      <c r="M313" t="s">
        <v>50</v>
      </c>
      <c r="N313">
        <v>4</v>
      </c>
      <c r="O313">
        <v>5</v>
      </c>
      <c r="P313">
        <v>42</v>
      </c>
      <c r="Q313" t="s">
        <v>26</v>
      </c>
      <c r="R313">
        <f>IF(subscriptions[[#This Row],[churned]]="Yes",1,0)</f>
        <v>1</v>
      </c>
      <c r="S313">
        <f ca="1">IF(subscriptions[[#This Row],[churn_flag]]=1, DATEDIF(subscriptions[[#This Row],[signup_date]],subscriptions[[#This Row],[churn_date]],"M"), DATEDIF(subscriptions[[#This Row],[signup_date]],TODAY(),"M"))</f>
        <v>5</v>
      </c>
      <c r="T313">
        <f ca="1">subscriptions[[#This Row],[monthly_revenue]]*subscriptions[[#This Row],[customer_lifetime]]</f>
        <v>770.3</v>
      </c>
      <c r="U313" t="str">
        <f>IF(subscriptions[[#This Row],[feature_usage_pct]]&lt;30,"High Risk",IF(subscriptions[[#This Row],[feature_usage_pct]]&lt;60,"Medium Risk","Low Risk"))</f>
        <v>Medium Risk</v>
      </c>
      <c r="V313">
        <f ca="1">subscriptions[[#This Row],[CLV]]/200</f>
        <v>3.8514999999999997</v>
      </c>
    </row>
    <row r="314" spans="1:22" x14ac:dyDescent="0.25">
      <c r="A314" t="s">
        <v>367</v>
      </c>
      <c r="B314" t="s">
        <v>31</v>
      </c>
      <c r="C314" t="s">
        <v>19</v>
      </c>
      <c r="D314" t="s">
        <v>62</v>
      </c>
      <c r="E314" s="2" t="s">
        <v>21</v>
      </c>
      <c r="F314">
        <v>74</v>
      </c>
      <c r="G314">
        <v>346.55</v>
      </c>
      <c r="H314" t="s">
        <v>22</v>
      </c>
      <c r="I314" t="s">
        <v>38</v>
      </c>
      <c r="J314" s="1">
        <v>45679</v>
      </c>
      <c r="K314" t="s">
        <v>26</v>
      </c>
      <c r="N314">
        <v>3</v>
      </c>
      <c r="O314">
        <v>4</v>
      </c>
      <c r="P314">
        <v>18</v>
      </c>
      <c r="Q314" t="s">
        <v>26</v>
      </c>
      <c r="R314">
        <f>IF(subscriptions[[#This Row],[churned]]="Yes",1,0)</f>
        <v>0</v>
      </c>
      <c r="S314">
        <f ca="1">IF(subscriptions[[#This Row],[churn_flag]]=1, DATEDIF(subscriptions[[#This Row],[signup_date]],subscriptions[[#This Row],[churn_date]],"M"), DATEDIF(subscriptions[[#This Row],[signup_date]],TODAY(),"M"))</f>
        <v>15</v>
      </c>
      <c r="T314">
        <f ca="1">subscriptions[[#This Row],[monthly_revenue]]*subscriptions[[#This Row],[customer_lifetime]]</f>
        <v>5198.25</v>
      </c>
      <c r="U314" t="str">
        <f>IF(subscriptions[[#This Row],[feature_usage_pct]]&lt;30,"High Risk",IF(subscriptions[[#This Row],[feature_usage_pct]]&lt;60,"Medium Risk","Low Risk"))</f>
        <v>High Risk</v>
      </c>
      <c r="V314">
        <f ca="1">subscriptions[[#This Row],[CLV]]/200</f>
        <v>25.991250000000001</v>
      </c>
    </row>
    <row r="315" spans="1:22" x14ac:dyDescent="0.25">
      <c r="A315" t="s">
        <v>368</v>
      </c>
      <c r="B315" t="s">
        <v>31</v>
      </c>
      <c r="C315" t="s">
        <v>28</v>
      </c>
      <c r="D315" t="s">
        <v>49</v>
      </c>
      <c r="E315" s="2" t="s">
        <v>664</v>
      </c>
      <c r="F315">
        <v>8</v>
      </c>
      <c r="G315">
        <v>50.53</v>
      </c>
      <c r="H315" t="s">
        <v>43</v>
      </c>
      <c r="I315" t="s">
        <v>69</v>
      </c>
      <c r="J315" s="1">
        <v>45572</v>
      </c>
      <c r="K315" t="s">
        <v>26</v>
      </c>
      <c r="N315">
        <v>3</v>
      </c>
      <c r="O315">
        <v>2</v>
      </c>
      <c r="P315">
        <v>22</v>
      </c>
      <c r="Q315" t="s">
        <v>26</v>
      </c>
      <c r="R315">
        <f>IF(subscriptions[[#This Row],[churned]]="Yes",1,0)</f>
        <v>0</v>
      </c>
      <c r="S315">
        <f ca="1">IF(subscriptions[[#This Row],[churn_flag]]=1, DATEDIF(subscriptions[[#This Row],[signup_date]],subscriptions[[#This Row],[churn_date]],"M"), DATEDIF(subscriptions[[#This Row],[signup_date]],TODAY(),"M"))</f>
        <v>19</v>
      </c>
      <c r="T315">
        <f ca="1">subscriptions[[#This Row],[monthly_revenue]]*subscriptions[[#This Row],[customer_lifetime]]</f>
        <v>960.07</v>
      </c>
      <c r="U315" t="str">
        <f>IF(subscriptions[[#This Row],[feature_usage_pct]]&lt;30,"High Risk",IF(subscriptions[[#This Row],[feature_usage_pct]]&lt;60,"Medium Risk","Low Risk"))</f>
        <v>High Risk</v>
      </c>
      <c r="V315">
        <f ca="1">subscriptions[[#This Row],[CLV]]/200</f>
        <v>4.8003499999999999</v>
      </c>
    </row>
    <row r="316" spans="1:22" x14ac:dyDescent="0.25">
      <c r="A316" t="s">
        <v>369</v>
      </c>
      <c r="B316" t="s">
        <v>31</v>
      </c>
      <c r="C316" t="s">
        <v>19</v>
      </c>
      <c r="D316" t="s">
        <v>62</v>
      </c>
      <c r="E316" s="2" t="s">
        <v>663</v>
      </c>
      <c r="F316">
        <v>13</v>
      </c>
      <c r="G316">
        <v>81.2</v>
      </c>
      <c r="H316" t="s">
        <v>60</v>
      </c>
      <c r="I316" t="s">
        <v>38</v>
      </c>
      <c r="J316" s="1">
        <v>45739</v>
      </c>
      <c r="K316" t="s">
        <v>24</v>
      </c>
      <c r="L316" s="1">
        <v>45920</v>
      </c>
      <c r="M316" t="s">
        <v>56</v>
      </c>
      <c r="N316">
        <v>12</v>
      </c>
      <c r="O316">
        <v>3</v>
      </c>
      <c r="P316">
        <v>29</v>
      </c>
      <c r="Q316" t="s">
        <v>26</v>
      </c>
      <c r="R316">
        <f>IF(subscriptions[[#This Row],[churned]]="Yes",1,0)</f>
        <v>1</v>
      </c>
      <c r="S316">
        <f ca="1">IF(subscriptions[[#This Row],[churn_flag]]=1, DATEDIF(subscriptions[[#This Row],[signup_date]],subscriptions[[#This Row],[churn_date]],"M"), DATEDIF(subscriptions[[#This Row],[signup_date]],TODAY(),"M"))</f>
        <v>5</v>
      </c>
      <c r="T316">
        <f ca="1">subscriptions[[#This Row],[monthly_revenue]]*subscriptions[[#This Row],[customer_lifetime]]</f>
        <v>406</v>
      </c>
      <c r="U316" t="str">
        <f>IF(subscriptions[[#This Row],[feature_usage_pct]]&lt;30,"High Risk",IF(subscriptions[[#This Row],[feature_usage_pct]]&lt;60,"Medium Risk","Low Risk"))</f>
        <v>High Risk</v>
      </c>
      <c r="V316">
        <f ca="1">subscriptions[[#This Row],[CLV]]/200</f>
        <v>2.0299999999999998</v>
      </c>
    </row>
    <row r="317" spans="1:22" x14ac:dyDescent="0.25">
      <c r="A317" t="s">
        <v>370</v>
      </c>
      <c r="B317" t="s">
        <v>18</v>
      </c>
      <c r="C317" t="s">
        <v>28</v>
      </c>
      <c r="D317" t="s">
        <v>32</v>
      </c>
      <c r="E317" s="2" t="s">
        <v>663</v>
      </c>
      <c r="F317">
        <v>33</v>
      </c>
      <c r="G317">
        <v>389.47</v>
      </c>
      <c r="H317" t="s">
        <v>34</v>
      </c>
      <c r="I317" t="s">
        <v>69</v>
      </c>
      <c r="J317" s="1">
        <v>44835</v>
      </c>
      <c r="K317" t="s">
        <v>24</v>
      </c>
      <c r="L317" s="1">
        <v>45906</v>
      </c>
      <c r="M317" t="s">
        <v>46</v>
      </c>
      <c r="N317">
        <v>11</v>
      </c>
      <c r="O317">
        <v>6</v>
      </c>
      <c r="P317">
        <v>37</v>
      </c>
      <c r="Q317" t="s">
        <v>26</v>
      </c>
      <c r="R317">
        <f>IF(subscriptions[[#This Row],[churned]]="Yes",1,0)</f>
        <v>1</v>
      </c>
      <c r="S317">
        <f ca="1">IF(subscriptions[[#This Row],[churn_flag]]=1, DATEDIF(subscriptions[[#This Row],[signup_date]],subscriptions[[#This Row],[churn_date]],"M"), DATEDIF(subscriptions[[#This Row],[signup_date]],TODAY(),"M"))</f>
        <v>35</v>
      </c>
      <c r="T317">
        <f ca="1">subscriptions[[#This Row],[monthly_revenue]]*subscriptions[[#This Row],[customer_lifetime]]</f>
        <v>13631.45</v>
      </c>
      <c r="U317" t="str">
        <f>IF(subscriptions[[#This Row],[feature_usage_pct]]&lt;30,"High Risk",IF(subscriptions[[#This Row],[feature_usage_pct]]&lt;60,"Medium Risk","Low Risk"))</f>
        <v>Medium Risk</v>
      </c>
      <c r="V317">
        <f ca="1">subscriptions[[#This Row],[CLV]]/200</f>
        <v>68.157250000000005</v>
      </c>
    </row>
    <row r="318" spans="1:22" x14ac:dyDescent="0.25">
      <c r="A318" t="s">
        <v>371</v>
      </c>
      <c r="B318" t="s">
        <v>31</v>
      </c>
      <c r="C318" t="s">
        <v>19</v>
      </c>
      <c r="D318" t="s">
        <v>32</v>
      </c>
      <c r="E318" s="2" t="s">
        <v>663</v>
      </c>
      <c r="F318">
        <v>31</v>
      </c>
      <c r="G318">
        <v>159.5</v>
      </c>
      <c r="H318" t="s">
        <v>34</v>
      </c>
      <c r="I318" t="s">
        <v>23</v>
      </c>
      <c r="J318" s="1">
        <v>45635</v>
      </c>
      <c r="K318" t="s">
        <v>24</v>
      </c>
      <c r="L318" s="1">
        <v>45758</v>
      </c>
      <c r="M318" t="s">
        <v>25</v>
      </c>
      <c r="N318">
        <v>6</v>
      </c>
      <c r="O318">
        <v>3</v>
      </c>
      <c r="P318">
        <v>26</v>
      </c>
      <c r="Q318" t="s">
        <v>26</v>
      </c>
      <c r="R318">
        <f>IF(subscriptions[[#This Row],[churned]]="Yes",1,0)</f>
        <v>1</v>
      </c>
      <c r="S318">
        <f ca="1">IF(subscriptions[[#This Row],[churn_flag]]=1, DATEDIF(subscriptions[[#This Row],[signup_date]],subscriptions[[#This Row],[churn_date]],"M"), DATEDIF(subscriptions[[#This Row],[signup_date]],TODAY(),"M"))</f>
        <v>4</v>
      </c>
      <c r="T318">
        <f ca="1">subscriptions[[#This Row],[monthly_revenue]]*subscriptions[[#This Row],[customer_lifetime]]</f>
        <v>638</v>
      </c>
      <c r="U318" t="str">
        <f>IF(subscriptions[[#This Row],[feature_usage_pct]]&lt;30,"High Risk",IF(subscriptions[[#This Row],[feature_usage_pct]]&lt;60,"Medium Risk","Low Risk"))</f>
        <v>High Risk</v>
      </c>
      <c r="V318">
        <f ca="1">subscriptions[[#This Row],[CLV]]/200</f>
        <v>3.19</v>
      </c>
    </row>
    <row r="319" spans="1:22" x14ac:dyDescent="0.25">
      <c r="A319" t="s">
        <v>372</v>
      </c>
      <c r="B319" t="s">
        <v>31</v>
      </c>
      <c r="C319" t="s">
        <v>19</v>
      </c>
      <c r="D319" t="s">
        <v>20</v>
      </c>
      <c r="E319" s="2" t="s">
        <v>664</v>
      </c>
      <c r="F319">
        <v>1</v>
      </c>
      <c r="G319">
        <v>29</v>
      </c>
      <c r="H319" t="s">
        <v>98</v>
      </c>
      <c r="I319" t="s">
        <v>69</v>
      </c>
      <c r="J319" s="1">
        <v>45694</v>
      </c>
      <c r="K319" t="s">
        <v>24</v>
      </c>
      <c r="L319" s="1">
        <v>45956</v>
      </c>
      <c r="M319" t="s">
        <v>56</v>
      </c>
      <c r="N319">
        <v>12</v>
      </c>
      <c r="O319">
        <v>3</v>
      </c>
      <c r="P319">
        <v>30</v>
      </c>
      <c r="Q319" t="s">
        <v>26</v>
      </c>
      <c r="R319">
        <f>IF(subscriptions[[#This Row],[churned]]="Yes",1,0)</f>
        <v>1</v>
      </c>
      <c r="S319">
        <f ca="1">IF(subscriptions[[#This Row],[churn_flag]]=1, DATEDIF(subscriptions[[#This Row],[signup_date]],subscriptions[[#This Row],[churn_date]],"M"), DATEDIF(subscriptions[[#This Row],[signup_date]],TODAY(),"M"))</f>
        <v>8</v>
      </c>
      <c r="T319">
        <f ca="1">subscriptions[[#This Row],[monthly_revenue]]*subscriptions[[#This Row],[customer_lifetime]]</f>
        <v>232</v>
      </c>
      <c r="U319" t="str">
        <f>IF(subscriptions[[#This Row],[feature_usage_pct]]&lt;30,"High Risk",IF(subscriptions[[#This Row],[feature_usage_pct]]&lt;60,"Medium Risk","Low Risk"))</f>
        <v>Medium Risk</v>
      </c>
      <c r="V319">
        <f ca="1">subscriptions[[#This Row],[CLV]]/200</f>
        <v>1.1599999999999999</v>
      </c>
    </row>
    <row r="320" spans="1:22" x14ac:dyDescent="0.25">
      <c r="A320" t="s">
        <v>373</v>
      </c>
      <c r="B320" t="s">
        <v>31</v>
      </c>
      <c r="C320" t="s">
        <v>28</v>
      </c>
      <c r="D320" t="s">
        <v>68</v>
      </c>
      <c r="E320" s="2" t="s">
        <v>21</v>
      </c>
      <c r="F320">
        <v>40</v>
      </c>
      <c r="G320">
        <v>168.85</v>
      </c>
      <c r="H320" t="s">
        <v>22</v>
      </c>
      <c r="I320" t="s">
        <v>38</v>
      </c>
      <c r="J320" s="1">
        <v>44758</v>
      </c>
      <c r="K320" t="s">
        <v>24</v>
      </c>
      <c r="L320" s="1">
        <v>44847</v>
      </c>
      <c r="M320" t="s">
        <v>50</v>
      </c>
      <c r="N320">
        <v>14</v>
      </c>
      <c r="O320">
        <v>4</v>
      </c>
      <c r="P320">
        <v>38</v>
      </c>
      <c r="Q320" t="s">
        <v>26</v>
      </c>
      <c r="R320">
        <f>IF(subscriptions[[#This Row],[churned]]="Yes",1,0)</f>
        <v>1</v>
      </c>
      <c r="S320">
        <f ca="1">IF(subscriptions[[#This Row],[churn_flag]]=1, DATEDIF(subscriptions[[#This Row],[signup_date]],subscriptions[[#This Row],[churn_date]],"M"), DATEDIF(subscriptions[[#This Row],[signup_date]],TODAY(),"M"))</f>
        <v>2</v>
      </c>
      <c r="T320">
        <f ca="1">subscriptions[[#This Row],[monthly_revenue]]*subscriptions[[#This Row],[customer_lifetime]]</f>
        <v>337.7</v>
      </c>
      <c r="U320" t="str">
        <f>IF(subscriptions[[#This Row],[feature_usage_pct]]&lt;30,"High Risk",IF(subscriptions[[#This Row],[feature_usage_pct]]&lt;60,"Medium Risk","Low Risk"))</f>
        <v>Medium Risk</v>
      </c>
      <c r="V320">
        <f ca="1">subscriptions[[#This Row],[CLV]]/200</f>
        <v>1.6884999999999999</v>
      </c>
    </row>
    <row r="321" spans="1:22" x14ac:dyDescent="0.25">
      <c r="A321" t="s">
        <v>374</v>
      </c>
      <c r="B321" t="s">
        <v>18</v>
      </c>
      <c r="C321" t="s">
        <v>28</v>
      </c>
      <c r="D321" t="s">
        <v>68</v>
      </c>
      <c r="E321" s="2" t="s">
        <v>21</v>
      </c>
      <c r="F321">
        <v>20</v>
      </c>
      <c r="G321">
        <v>258.52999999999997</v>
      </c>
      <c r="H321" t="s">
        <v>22</v>
      </c>
      <c r="I321" t="s">
        <v>38</v>
      </c>
      <c r="J321" s="1">
        <v>45279</v>
      </c>
      <c r="K321" t="s">
        <v>26</v>
      </c>
      <c r="N321">
        <v>10</v>
      </c>
      <c r="O321">
        <v>9</v>
      </c>
      <c r="P321">
        <v>34</v>
      </c>
      <c r="Q321" t="s">
        <v>26</v>
      </c>
      <c r="R321">
        <f>IF(subscriptions[[#This Row],[churned]]="Yes",1,0)</f>
        <v>0</v>
      </c>
      <c r="S321">
        <f ca="1">IF(subscriptions[[#This Row],[churn_flag]]=1, DATEDIF(subscriptions[[#This Row],[signup_date]],subscriptions[[#This Row],[churn_date]],"M"), DATEDIF(subscriptions[[#This Row],[signup_date]],TODAY(),"M"))</f>
        <v>28</v>
      </c>
      <c r="T321">
        <f ca="1">subscriptions[[#This Row],[monthly_revenue]]*subscriptions[[#This Row],[customer_lifetime]]</f>
        <v>7238.8399999999992</v>
      </c>
      <c r="U321" t="str">
        <f>IF(subscriptions[[#This Row],[feature_usage_pct]]&lt;30,"High Risk",IF(subscriptions[[#This Row],[feature_usage_pct]]&lt;60,"Medium Risk","Low Risk"))</f>
        <v>Medium Risk</v>
      </c>
      <c r="V321">
        <f ca="1">subscriptions[[#This Row],[CLV]]/200</f>
        <v>36.194199999999995</v>
      </c>
    </row>
    <row r="322" spans="1:22" x14ac:dyDescent="0.25">
      <c r="A322" t="s">
        <v>375</v>
      </c>
      <c r="B322" t="s">
        <v>18</v>
      </c>
      <c r="C322" t="s">
        <v>19</v>
      </c>
      <c r="D322" t="s">
        <v>62</v>
      </c>
      <c r="E322" s="2" t="s">
        <v>664</v>
      </c>
      <c r="F322">
        <v>2</v>
      </c>
      <c r="G322">
        <v>90.85</v>
      </c>
      <c r="H322" t="s">
        <v>22</v>
      </c>
      <c r="I322" t="s">
        <v>23</v>
      </c>
      <c r="J322" s="1">
        <v>45727</v>
      </c>
      <c r="K322" t="s">
        <v>24</v>
      </c>
      <c r="L322" s="1">
        <v>45777</v>
      </c>
      <c r="M322" t="s">
        <v>56</v>
      </c>
      <c r="N322">
        <v>8</v>
      </c>
      <c r="O322">
        <v>3</v>
      </c>
      <c r="P322">
        <v>15</v>
      </c>
      <c r="Q322" t="s">
        <v>26</v>
      </c>
      <c r="R322">
        <f>IF(subscriptions[[#This Row],[churned]]="Yes",1,0)</f>
        <v>1</v>
      </c>
      <c r="S322">
        <f ca="1">IF(subscriptions[[#This Row],[churn_flag]]=1, DATEDIF(subscriptions[[#This Row],[signup_date]],subscriptions[[#This Row],[churn_date]],"M"), DATEDIF(subscriptions[[#This Row],[signup_date]],TODAY(),"M"))</f>
        <v>1</v>
      </c>
      <c r="T322">
        <f ca="1">subscriptions[[#This Row],[monthly_revenue]]*subscriptions[[#This Row],[customer_lifetime]]</f>
        <v>90.85</v>
      </c>
      <c r="U322" t="str">
        <f>IF(subscriptions[[#This Row],[feature_usage_pct]]&lt;30,"High Risk",IF(subscriptions[[#This Row],[feature_usage_pct]]&lt;60,"Medium Risk","Low Risk"))</f>
        <v>High Risk</v>
      </c>
      <c r="V322">
        <f ca="1">subscriptions[[#This Row],[CLV]]/200</f>
        <v>0.45424999999999999</v>
      </c>
    </row>
    <row r="323" spans="1:22" x14ac:dyDescent="0.25">
      <c r="A323" t="s">
        <v>376</v>
      </c>
      <c r="B323" t="s">
        <v>18</v>
      </c>
      <c r="C323" t="s">
        <v>28</v>
      </c>
      <c r="D323" t="s">
        <v>79</v>
      </c>
      <c r="E323" s="2" t="s">
        <v>21</v>
      </c>
      <c r="F323">
        <v>34</v>
      </c>
      <c r="G323">
        <v>399.54</v>
      </c>
      <c r="H323" t="s">
        <v>98</v>
      </c>
      <c r="I323" t="s">
        <v>23</v>
      </c>
      <c r="J323" s="1">
        <v>45579</v>
      </c>
      <c r="K323" t="s">
        <v>24</v>
      </c>
      <c r="L323" s="1">
        <v>45637</v>
      </c>
      <c r="M323" t="s">
        <v>82</v>
      </c>
      <c r="N323">
        <v>11</v>
      </c>
      <c r="O323">
        <v>6</v>
      </c>
      <c r="P323">
        <v>12</v>
      </c>
      <c r="Q323" t="s">
        <v>26</v>
      </c>
      <c r="R323">
        <f>IF(subscriptions[[#This Row],[churned]]="Yes",1,0)</f>
        <v>1</v>
      </c>
      <c r="S323">
        <f ca="1">IF(subscriptions[[#This Row],[churn_flag]]=1, DATEDIF(subscriptions[[#This Row],[signup_date]],subscriptions[[#This Row],[churn_date]],"M"), DATEDIF(subscriptions[[#This Row],[signup_date]],TODAY(),"M"))</f>
        <v>1</v>
      </c>
      <c r="T323">
        <f ca="1">subscriptions[[#This Row],[monthly_revenue]]*subscriptions[[#This Row],[customer_lifetime]]</f>
        <v>399.54</v>
      </c>
      <c r="U323" t="str">
        <f>IF(subscriptions[[#This Row],[feature_usage_pct]]&lt;30,"High Risk",IF(subscriptions[[#This Row],[feature_usage_pct]]&lt;60,"Medium Risk","Low Risk"))</f>
        <v>High Risk</v>
      </c>
      <c r="V323">
        <f ca="1">subscriptions[[#This Row],[CLV]]/200</f>
        <v>1.9977</v>
      </c>
    </row>
    <row r="324" spans="1:22" x14ac:dyDescent="0.25">
      <c r="A324" t="s">
        <v>377</v>
      </c>
      <c r="B324" t="s">
        <v>36</v>
      </c>
      <c r="C324" t="s">
        <v>19</v>
      </c>
      <c r="D324" t="s">
        <v>49</v>
      </c>
      <c r="E324" s="2" t="s">
        <v>664</v>
      </c>
      <c r="F324">
        <v>7</v>
      </c>
      <c r="G324">
        <v>378.1</v>
      </c>
      <c r="H324" t="s">
        <v>34</v>
      </c>
      <c r="I324" t="s">
        <v>55</v>
      </c>
      <c r="J324" s="1">
        <v>45217</v>
      </c>
      <c r="K324" t="s">
        <v>26</v>
      </c>
      <c r="N324">
        <v>5</v>
      </c>
      <c r="O324">
        <v>9</v>
      </c>
      <c r="P324">
        <v>55</v>
      </c>
      <c r="Q324" t="s">
        <v>26</v>
      </c>
      <c r="R324">
        <f>IF(subscriptions[[#This Row],[churned]]="Yes",1,0)</f>
        <v>0</v>
      </c>
      <c r="S324">
        <f ca="1">IF(subscriptions[[#This Row],[churn_flag]]=1, DATEDIF(subscriptions[[#This Row],[signup_date]],subscriptions[[#This Row],[churn_date]],"M"), DATEDIF(subscriptions[[#This Row],[signup_date]],TODAY(),"M"))</f>
        <v>30</v>
      </c>
      <c r="T324">
        <f ca="1">subscriptions[[#This Row],[monthly_revenue]]*subscriptions[[#This Row],[customer_lifetime]]</f>
        <v>11343</v>
      </c>
      <c r="U324" t="str">
        <f>IF(subscriptions[[#This Row],[feature_usage_pct]]&lt;30,"High Risk",IF(subscriptions[[#This Row],[feature_usage_pct]]&lt;60,"Medium Risk","Low Risk"))</f>
        <v>Medium Risk</v>
      </c>
      <c r="V324">
        <f ca="1">subscriptions[[#This Row],[CLV]]/200</f>
        <v>56.715000000000003</v>
      </c>
    </row>
    <row r="325" spans="1:22" x14ac:dyDescent="0.25">
      <c r="A325" t="s">
        <v>378</v>
      </c>
      <c r="B325" t="s">
        <v>31</v>
      </c>
      <c r="C325" t="s">
        <v>28</v>
      </c>
      <c r="D325" t="s">
        <v>79</v>
      </c>
      <c r="E325" s="2" t="s">
        <v>21</v>
      </c>
      <c r="F325">
        <v>24</v>
      </c>
      <c r="G325">
        <v>109.69</v>
      </c>
      <c r="H325" t="s">
        <v>22</v>
      </c>
      <c r="I325" t="s">
        <v>23</v>
      </c>
      <c r="J325" s="1">
        <v>45973</v>
      </c>
      <c r="K325" t="s">
        <v>26</v>
      </c>
      <c r="N325">
        <v>7</v>
      </c>
      <c r="O325">
        <v>2</v>
      </c>
      <c r="P325">
        <v>90</v>
      </c>
      <c r="Q325" t="s">
        <v>26</v>
      </c>
      <c r="R325">
        <f>IF(subscriptions[[#This Row],[churned]]="Yes",1,0)</f>
        <v>0</v>
      </c>
      <c r="S325">
        <f ca="1">IF(subscriptions[[#This Row],[churn_flag]]=1, DATEDIF(subscriptions[[#This Row],[signup_date]],subscriptions[[#This Row],[churn_date]],"M"), DATEDIF(subscriptions[[#This Row],[signup_date]],TODAY(),"M"))</f>
        <v>6</v>
      </c>
      <c r="T325">
        <f ca="1">subscriptions[[#This Row],[monthly_revenue]]*subscriptions[[#This Row],[customer_lifetime]]</f>
        <v>658.14</v>
      </c>
      <c r="U325" t="str">
        <f>IF(subscriptions[[#This Row],[feature_usage_pct]]&lt;30,"High Risk",IF(subscriptions[[#This Row],[feature_usage_pct]]&lt;60,"Medium Risk","Low Risk"))</f>
        <v>Low Risk</v>
      </c>
      <c r="V325">
        <f ca="1">subscriptions[[#This Row],[CLV]]/200</f>
        <v>3.2906999999999997</v>
      </c>
    </row>
    <row r="326" spans="1:22" x14ac:dyDescent="0.25">
      <c r="A326" t="s">
        <v>379</v>
      </c>
      <c r="B326" t="s">
        <v>18</v>
      </c>
      <c r="C326" t="s">
        <v>28</v>
      </c>
      <c r="D326" t="s">
        <v>42</v>
      </c>
      <c r="E326" s="2" t="s">
        <v>45</v>
      </c>
      <c r="F326">
        <v>105</v>
      </c>
      <c r="G326">
        <v>1114.69</v>
      </c>
      <c r="H326" t="s">
        <v>60</v>
      </c>
      <c r="I326" t="s">
        <v>38</v>
      </c>
      <c r="J326" s="1">
        <v>44648</v>
      </c>
      <c r="K326" t="s">
        <v>24</v>
      </c>
      <c r="L326" s="1">
        <v>45194</v>
      </c>
      <c r="M326" t="s">
        <v>53</v>
      </c>
      <c r="N326">
        <v>2</v>
      </c>
      <c r="O326">
        <v>1</v>
      </c>
      <c r="P326">
        <v>15</v>
      </c>
      <c r="Q326" t="s">
        <v>26</v>
      </c>
      <c r="R326">
        <f>IF(subscriptions[[#This Row],[churned]]="Yes",1,0)</f>
        <v>1</v>
      </c>
      <c r="S326">
        <f ca="1">IF(subscriptions[[#This Row],[churn_flag]]=1, DATEDIF(subscriptions[[#This Row],[signup_date]],subscriptions[[#This Row],[churn_date]],"M"), DATEDIF(subscriptions[[#This Row],[signup_date]],TODAY(),"M"))</f>
        <v>17</v>
      </c>
      <c r="T326">
        <f ca="1">subscriptions[[#This Row],[monthly_revenue]]*subscriptions[[#This Row],[customer_lifetime]]</f>
        <v>18949.73</v>
      </c>
      <c r="U326" t="str">
        <f>IF(subscriptions[[#This Row],[feature_usage_pct]]&lt;30,"High Risk",IF(subscriptions[[#This Row],[feature_usage_pct]]&lt;60,"Medium Risk","Low Risk"))</f>
        <v>High Risk</v>
      </c>
      <c r="V326">
        <f ca="1">subscriptions[[#This Row],[CLV]]/200</f>
        <v>94.748649999999998</v>
      </c>
    </row>
    <row r="327" spans="1:22" x14ac:dyDescent="0.25">
      <c r="A327" t="s">
        <v>380</v>
      </c>
      <c r="B327" t="s">
        <v>36</v>
      </c>
      <c r="C327" t="s">
        <v>28</v>
      </c>
      <c r="D327" t="s">
        <v>62</v>
      </c>
      <c r="E327" s="2" t="s">
        <v>663</v>
      </c>
      <c r="F327">
        <v>10</v>
      </c>
      <c r="G327">
        <v>397.5</v>
      </c>
      <c r="H327" t="s">
        <v>34</v>
      </c>
      <c r="I327" t="s">
        <v>23</v>
      </c>
      <c r="J327" s="1">
        <v>45676</v>
      </c>
      <c r="K327" t="s">
        <v>26</v>
      </c>
      <c r="N327">
        <v>6</v>
      </c>
      <c r="O327">
        <v>9</v>
      </c>
      <c r="P327">
        <v>77</v>
      </c>
      <c r="Q327" t="s">
        <v>24</v>
      </c>
      <c r="R327">
        <f>IF(subscriptions[[#This Row],[churned]]="Yes",1,0)</f>
        <v>0</v>
      </c>
      <c r="S327">
        <f ca="1">IF(subscriptions[[#This Row],[churn_flag]]=1, DATEDIF(subscriptions[[#This Row],[signup_date]],subscriptions[[#This Row],[churn_date]],"M"), DATEDIF(subscriptions[[#This Row],[signup_date]],TODAY(),"M"))</f>
        <v>15</v>
      </c>
      <c r="T327">
        <f ca="1">subscriptions[[#This Row],[monthly_revenue]]*subscriptions[[#This Row],[customer_lifetime]]</f>
        <v>5962.5</v>
      </c>
      <c r="U327" t="str">
        <f>IF(subscriptions[[#This Row],[feature_usage_pct]]&lt;30,"High Risk",IF(subscriptions[[#This Row],[feature_usage_pct]]&lt;60,"Medium Risk","Low Risk"))</f>
        <v>Low Risk</v>
      </c>
      <c r="V327">
        <f ca="1">subscriptions[[#This Row],[CLV]]/200</f>
        <v>29.8125</v>
      </c>
    </row>
    <row r="328" spans="1:22" x14ac:dyDescent="0.25">
      <c r="A328" t="s">
        <v>381</v>
      </c>
      <c r="B328" t="s">
        <v>18</v>
      </c>
      <c r="C328" t="s">
        <v>19</v>
      </c>
      <c r="D328" t="s">
        <v>79</v>
      </c>
      <c r="E328" s="2" t="s">
        <v>663</v>
      </c>
      <c r="F328">
        <v>15</v>
      </c>
      <c r="G328">
        <v>244.9</v>
      </c>
      <c r="H328" t="s">
        <v>34</v>
      </c>
      <c r="I328" t="s">
        <v>55</v>
      </c>
      <c r="J328" s="1">
        <v>44685</v>
      </c>
      <c r="K328" t="s">
        <v>24</v>
      </c>
      <c r="L328" s="1">
        <v>44737</v>
      </c>
      <c r="M328" t="s">
        <v>56</v>
      </c>
      <c r="N328">
        <v>14</v>
      </c>
      <c r="O328">
        <v>1</v>
      </c>
      <c r="P328">
        <v>15</v>
      </c>
      <c r="Q328" t="s">
        <v>26</v>
      </c>
      <c r="R328">
        <f>IF(subscriptions[[#This Row],[churned]]="Yes",1,0)</f>
        <v>1</v>
      </c>
      <c r="S328">
        <f ca="1">IF(subscriptions[[#This Row],[churn_flag]]=1, DATEDIF(subscriptions[[#This Row],[signup_date]],subscriptions[[#This Row],[churn_date]],"M"), DATEDIF(subscriptions[[#This Row],[signup_date]],TODAY(),"M"))</f>
        <v>1</v>
      </c>
      <c r="T328">
        <f ca="1">subscriptions[[#This Row],[monthly_revenue]]*subscriptions[[#This Row],[customer_lifetime]]</f>
        <v>244.9</v>
      </c>
      <c r="U328" t="str">
        <f>IF(subscriptions[[#This Row],[feature_usage_pct]]&lt;30,"High Risk",IF(subscriptions[[#This Row],[feature_usage_pct]]&lt;60,"Medium Risk","Low Risk"))</f>
        <v>High Risk</v>
      </c>
      <c r="V328">
        <f ca="1">subscriptions[[#This Row],[CLV]]/200</f>
        <v>1.2244999999999999</v>
      </c>
    </row>
    <row r="329" spans="1:22" x14ac:dyDescent="0.25">
      <c r="A329" t="s">
        <v>382</v>
      </c>
      <c r="B329" t="s">
        <v>18</v>
      </c>
      <c r="C329" t="s">
        <v>19</v>
      </c>
      <c r="D329" t="s">
        <v>42</v>
      </c>
      <c r="E329" s="2" t="s">
        <v>663</v>
      </c>
      <c r="F329">
        <v>13</v>
      </c>
      <c r="G329">
        <v>221.2</v>
      </c>
      <c r="H329" t="s">
        <v>60</v>
      </c>
      <c r="I329" t="s">
        <v>38</v>
      </c>
      <c r="J329" s="1">
        <v>45534</v>
      </c>
      <c r="K329" t="s">
        <v>26</v>
      </c>
      <c r="N329">
        <v>2</v>
      </c>
      <c r="O329">
        <v>4</v>
      </c>
      <c r="P329">
        <v>71</v>
      </c>
      <c r="Q329" t="s">
        <v>26</v>
      </c>
      <c r="R329">
        <f>IF(subscriptions[[#This Row],[churned]]="Yes",1,0)</f>
        <v>0</v>
      </c>
      <c r="S329">
        <f ca="1">IF(subscriptions[[#This Row],[churn_flag]]=1, DATEDIF(subscriptions[[#This Row],[signup_date]],subscriptions[[#This Row],[churn_date]],"M"), DATEDIF(subscriptions[[#This Row],[signup_date]],TODAY(),"M"))</f>
        <v>20</v>
      </c>
      <c r="T329">
        <f ca="1">subscriptions[[#This Row],[monthly_revenue]]*subscriptions[[#This Row],[customer_lifetime]]</f>
        <v>4424</v>
      </c>
      <c r="U329" t="str">
        <f>IF(subscriptions[[#This Row],[feature_usage_pct]]&lt;30,"High Risk",IF(subscriptions[[#This Row],[feature_usage_pct]]&lt;60,"Medium Risk","Low Risk"))</f>
        <v>Low Risk</v>
      </c>
      <c r="V329">
        <f ca="1">subscriptions[[#This Row],[CLV]]/200</f>
        <v>22.12</v>
      </c>
    </row>
    <row r="330" spans="1:22" x14ac:dyDescent="0.25">
      <c r="A330" t="s">
        <v>383</v>
      </c>
      <c r="B330" t="s">
        <v>31</v>
      </c>
      <c r="C330" t="s">
        <v>19</v>
      </c>
      <c r="D330" t="s">
        <v>68</v>
      </c>
      <c r="E330" s="2" t="s">
        <v>33</v>
      </c>
      <c r="F330">
        <v>297</v>
      </c>
      <c r="G330">
        <v>1316.6</v>
      </c>
      <c r="H330" t="s">
        <v>34</v>
      </c>
      <c r="I330" t="s">
        <v>69</v>
      </c>
      <c r="J330" s="1">
        <v>46002</v>
      </c>
      <c r="K330" t="s">
        <v>26</v>
      </c>
      <c r="N330">
        <v>7</v>
      </c>
      <c r="O330">
        <v>4</v>
      </c>
      <c r="P330">
        <v>44</v>
      </c>
      <c r="Q330" t="s">
        <v>26</v>
      </c>
      <c r="R330">
        <f>IF(subscriptions[[#This Row],[churned]]="Yes",1,0)</f>
        <v>0</v>
      </c>
      <c r="S330">
        <f ca="1">IF(subscriptions[[#This Row],[churn_flag]]=1, DATEDIF(subscriptions[[#This Row],[signup_date]],subscriptions[[#This Row],[churn_date]],"M"), DATEDIF(subscriptions[[#This Row],[signup_date]],TODAY(),"M"))</f>
        <v>5</v>
      </c>
      <c r="T330">
        <f ca="1">subscriptions[[#This Row],[monthly_revenue]]*subscriptions[[#This Row],[customer_lifetime]]</f>
        <v>6583</v>
      </c>
      <c r="U330" t="str">
        <f>IF(subscriptions[[#This Row],[feature_usage_pct]]&lt;30,"High Risk",IF(subscriptions[[#This Row],[feature_usage_pct]]&lt;60,"Medium Risk","Low Risk"))</f>
        <v>Medium Risk</v>
      </c>
      <c r="V330">
        <f ca="1">subscriptions[[#This Row],[CLV]]/200</f>
        <v>32.914999999999999</v>
      </c>
    </row>
    <row r="331" spans="1:22" x14ac:dyDescent="0.25">
      <c r="A331" t="s">
        <v>384</v>
      </c>
      <c r="B331" t="s">
        <v>18</v>
      </c>
      <c r="C331" t="s">
        <v>19</v>
      </c>
      <c r="D331" t="s">
        <v>20</v>
      </c>
      <c r="E331" s="2" t="s">
        <v>21</v>
      </c>
      <c r="F331">
        <v>51</v>
      </c>
      <c r="G331">
        <v>671.5</v>
      </c>
      <c r="H331" t="s">
        <v>29</v>
      </c>
      <c r="I331" t="s">
        <v>55</v>
      </c>
      <c r="J331" s="1">
        <v>45368</v>
      </c>
      <c r="K331" t="s">
        <v>26</v>
      </c>
      <c r="N331">
        <v>7</v>
      </c>
      <c r="O331">
        <v>4</v>
      </c>
      <c r="P331">
        <v>84</v>
      </c>
      <c r="Q331" t="s">
        <v>26</v>
      </c>
      <c r="R331">
        <f>IF(subscriptions[[#This Row],[churned]]="Yes",1,0)</f>
        <v>0</v>
      </c>
      <c r="S331">
        <f ca="1">IF(subscriptions[[#This Row],[churn_flag]]=1, DATEDIF(subscriptions[[#This Row],[signup_date]],subscriptions[[#This Row],[churn_date]],"M"), DATEDIF(subscriptions[[#This Row],[signup_date]],TODAY(),"M"))</f>
        <v>25</v>
      </c>
      <c r="T331">
        <f ca="1">subscriptions[[#This Row],[monthly_revenue]]*subscriptions[[#This Row],[customer_lifetime]]</f>
        <v>16787.5</v>
      </c>
      <c r="U331" t="str">
        <f>IF(subscriptions[[#This Row],[feature_usage_pct]]&lt;30,"High Risk",IF(subscriptions[[#This Row],[feature_usage_pct]]&lt;60,"Medium Risk","Low Risk"))</f>
        <v>Low Risk</v>
      </c>
      <c r="V331">
        <f ca="1">subscriptions[[#This Row],[CLV]]/200</f>
        <v>83.9375</v>
      </c>
    </row>
    <row r="332" spans="1:22" x14ac:dyDescent="0.25">
      <c r="A332" t="s">
        <v>385</v>
      </c>
      <c r="B332" t="s">
        <v>18</v>
      </c>
      <c r="C332" t="s">
        <v>19</v>
      </c>
      <c r="D332" t="s">
        <v>62</v>
      </c>
      <c r="E332" s="2" t="s">
        <v>21</v>
      </c>
      <c r="F332">
        <v>30</v>
      </c>
      <c r="G332">
        <v>422.65</v>
      </c>
      <c r="H332" t="s">
        <v>98</v>
      </c>
      <c r="I332" t="s">
        <v>23</v>
      </c>
      <c r="J332" s="1">
        <v>45821</v>
      </c>
      <c r="K332" t="s">
        <v>26</v>
      </c>
      <c r="N332">
        <v>11</v>
      </c>
      <c r="O332">
        <v>5</v>
      </c>
      <c r="P332">
        <v>60</v>
      </c>
      <c r="Q332" t="s">
        <v>26</v>
      </c>
      <c r="R332">
        <f>IF(subscriptions[[#This Row],[churned]]="Yes",1,0)</f>
        <v>0</v>
      </c>
      <c r="S332">
        <f ca="1">IF(subscriptions[[#This Row],[churn_flag]]=1, DATEDIF(subscriptions[[#This Row],[signup_date]],subscriptions[[#This Row],[churn_date]],"M"), DATEDIF(subscriptions[[#This Row],[signup_date]],TODAY(),"M"))</f>
        <v>11</v>
      </c>
      <c r="T332">
        <f ca="1">subscriptions[[#This Row],[monthly_revenue]]*subscriptions[[#This Row],[customer_lifetime]]</f>
        <v>4649.1499999999996</v>
      </c>
      <c r="U332" t="str">
        <f>IF(subscriptions[[#This Row],[feature_usage_pct]]&lt;30,"High Risk",IF(subscriptions[[#This Row],[feature_usage_pct]]&lt;60,"Medium Risk","Low Risk"))</f>
        <v>Low Risk</v>
      </c>
      <c r="V332">
        <f ca="1">subscriptions[[#This Row],[CLV]]/200</f>
        <v>23.245749999999997</v>
      </c>
    </row>
    <row r="333" spans="1:22" x14ac:dyDescent="0.25">
      <c r="A333" t="s">
        <v>386</v>
      </c>
      <c r="B333" t="s">
        <v>18</v>
      </c>
      <c r="C333" t="s">
        <v>19</v>
      </c>
      <c r="D333" t="s">
        <v>32</v>
      </c>
      <c r="E333" s="2" t="s">
        <v>21</v>
      </c>
      <c r="F333">
        <v>77</v>
      </c>
      <c r="G333">
        <v>979.6</v>
      </c>
      <c r="H333" t="s">
        <v>60</v>
      </c>
      <c r="I333" t="s">
        <v>23</v>
      </c>
      <c r="J333" s="1">
        <v>45724</v>
      </c>
      <c r="K333" t="s">
        <v>24</v>
      </c>
      <c r="L333" s="1">
        <v>45818</v>
      </c>
      <c r="M333" t="s">
        <v>53</v>
      </c>
      <c r="N333">
        <v>3</v>
      </c>
      <c r="O333">
        <v>2</v>
      </c>
      <c r="P333">
        <v>40</v>
      </c>
      <c r="Q333" t="s">
        <v>26</v>
      </c>
      <c r="R333">
        <f>IF(subscriptions[[#This Row],[churned]]="Yes",1,0)</f>
        <v>1</v>
      </c>
      <c r="S333">
        <f ca="1">IF(subscriptions[[#This Row],[churn_flag]]=1, DATEDIF(subscriptions[[#This Row],[signup_date]],subscriptions[[#This Row],[churn_date]],"M"), DATEDIF(subscriptions[[#This Row],[signup_date]],TODAY(),"M"))</f>
        <v>3</v>
      </c>
      <c r="T333">
        <f ca="1">subscriptions[[#This Row],[monthly_revenue]]*subscriptions[[#This Row],[customer_lifetime]]</f>
        <v>2938.8</v>
      </c>
      <c r="U333" t="str">
        <f>IF(subscriptions[[#This Row],[feature_usage_pct]]&lt;30,"High Risk",IF(subscriptions[[#This Row],[feature_usage_pct]]&lt;60,"Medium Risk","Low Risk"))</f>
        <v>Medium Risk</v>
      </c>
      <c r="V333">
        <f ca="1">subscriptions[[#This Row],[CLV]]/200</f>
        <v>14.694000000000001</v>
      </c>
    </row>
    <row r="334" spans="1:22" x14ac:dyDescent="0.25">
      <c r="A334" t="s">
        <v>387</v>
      </c>
      <c r="B334" t="s">
        <v>18</v>
      </c>
      <c r="C334" t="s">
        <v>28</v>
      </c>
      <c r="D334" t="s">
        <v>62</v>
      </c>
      <c r="E334" s="2" t="s">
        <v>21</v>
      </c>
      <c r="F334">
        <v>18</v>
      </c>
      <c r="G334">
        <v>238.38</v>
      </c>
      <c r="H334" t="s">
        <v>34</v>
      </c>
      <c r="I334" t="s">
        <v>55</v>
      </c>
      <c r="J334" s="1">
        <v>45387</v>
      </c>
      <c r="K334" t="s">
        <v>24</v>
      </c>
      <c r="L334" s="1">
        <v>45936</v>
      </c>
      <c r="M334" t="s">
        <v>82</v>
      </c>
      <c r="N334">
        <v>14</v>
      </c>
      <c r="O334">
        <v>1</v>
      </c>
      <c r="P334">
        <v>33</v>
      </c>
      <c r="Q334" t="s">
        <v>26</v>
      </c>
      <c r="R334">
        <f>IF(subscriptions[[#This Row],[churned]]="Yes",1,0)</f>
        <v>1</v>
      </c>
      <c r="S334">
        <f ca="1">IF(subscriptions[[#This Row],[churn_flag]]=1, DATEDIF(subscriptions[[#This Row],[signup_date]],subscriptions[[#This Row],[churn_date]],"M"), DATEDIF(subscriptions[[#This Row],[signup_date]],TODAY(),"M"))</f>
        <v>18</v>
      </c>
      <c r="T334">
        <f ca="1">subscriptions[[#This Row],[monthly_revenue]]*subscriptions[[#This Row],[customer_lifetime]]</f>
        <v>4290.84</v>
      </c>
      <c r="U334" t="str">
        <f>IF(subscriptions[[#This Row],[feature_usage_pct]]&lt;30,"High Risk",IF(subscriptions[[#This Row],[feature_usage_pct]]&lt;60,"Medium Risk","Low Risk"))</f>
        <v>Medium Risk</v>
      </c>
      <c r="V334">
        <f ca="1">subscriptions[[#This Row],[CLV]]/200</f>
        <v>21.4542</v>
      </c>
    </row>
    <row r="335" spans="1:22" x14ac:dyDescent="0.25">
      <c r="A335" t="s">
        <v>388</v>
      </c>
      <c r="B335" t="s">
        <v>31</v>
      </c>
      <c r="C335" t="s">
        <v>28</v>
      </c>
      <c r="D335" t="s">
        <v>32</v>
      </c>
      <c r="E335" s="2" t="s">
        <v>45</v>
      </c>
      <c r="F335">
        <v>85</v>
      </c>
      <c r="G335">
        <v>335.24</v>
      </c>
      <c r="H335" t="s">
        <v>22</v>
      </c>
      <c r="I335" t="s">
        <v>38</v>
      </c>
      <c r="J335" s="1">
        <v>45212</v>
      </c>
      <c r="K335" t="s">
        <v>24</v>
      </c>
      <c r="L335" s="1">
        <v>45313</v>
      </c>
      <c r="M335" t="s">
        <v>53</v>
      </c>
      <c r="N335">
        <v>8</v>
      </c>
      <c r="O335">
        <v>1</v>
      </c>
      <c r="P335">
        <v>35</v>
      </c>
      <c r="Q335" t="s">
        <v>26</v>
      </c>
      <c r="R335">
        <f>IF(subscriptions[[#This Row],[churned]]="Yes",1,0)</f>
        <v>1</v>
      </c>
      <c r="S335">
        <f ca="1">IF(subscriptions[[#This Row],[churn_flag]]=1, DATEDIF(subscriptions[[#This Row],[signup_date]],subscriptions[[#This Row],[churn_date]],"M"), DATEDIF(subscriptions[[#This Row],[signup_date]],TODAY(),"M"))</f>
        <v>3</v>
      </c>
      <c r="T335">
        <f ca="1">subscriptions[[#This Row],[monthly_revenue]]*subscriptions[[#This Row],[customer_lifetime]]</f>
        <v>1005.72</v>
      </c>
      <c r="U335" t="str">
        <f>IF(subscriptions[[#This Row],[feature_usage_pct]]&lt;30,"High Risk",IF(subscriptions[[#This Row],[feature_usage_pct]]&lt;60,"Medium Risk","Low Risk"))</f>
        <v>Medium Risk</v>
      </c>
      <c r="V335">
        <f ca="1">subscriptions[[#This Row],[CLV]]/200</f>
        <v>5.0286</v>
      </c>
    </row>
    <row r="336" spans="1:22" x14ac:dyDescent="0.25">
      <c r="A336" t="s">
        <v>389</v>
      </c>
      <c r="B336" t="s">
        <v>18</v>
      </c>
      <c r="C336" t="s">
        <v>19</v>
      </c>
      <c r="D336" t="s">
        <v>79</v>
      </c>
      <c r="E336" s="2" t="s">
        <v>663</v>
      </c>
      <c r="F336">
        <v>18</v>
      </c>
      <c r="G336">
        <v>280.45</v>
      </c>
      <c r="H336" t="s">
        <v>98</v>
      </c>
      <c r="I336" t="s">
        <v>23</v>
      </c>
      <c r="J336" s="1">
        <v>44811</v>
      </c>
      <c r="K336" t="s">
        <v>24</v>
      </c>
      <c r="L336" s="1">
        <v>45364</v>
      </c>
      <c r="M336" t="s">
        <v>63</v>
      </c>
      <c r="N336">
        <v>10</v>
      </c>
      <c r="O336">
        <v>1</v>
      </c>
      <c r="P336">
        <v>27</v>
      </c>
      <c r="Q336" t="s">
        <v>26</v>
      </c>
      <c r="R336">
        <f>IF(subscriptions[[#This Row],[churned]]="Yes",1,0)</f>
        <v>1</v>
      </c>
      <c r="S336">
        <f ca="1">IF(subscriptions[[#This Row],[churn_flag]]=1, DATEDIF(subscriptions[[#This Row],[signup_date]],subscriptions[[#This Row],[churn_date]],"M"), DATEDIF(subscriptions[[#This Row],[signup_date]],TODAY(),"M"))</f>
        <v>18</v>
      </c>
      <c r="T336">
        <f ca="1">subscriptions[[#This Row],[monthly_revenue]]*subscriptions[[#This Row],[customer_lifetime]]</f>
        <v>5048.0999999999995</v>
      </c>
      <c r="U336" t="str">
        <f>IF(subscriptions[[#This Row],[feature_usage_pct]]&lt;30,"High Risk",IF(subscriptions[[#This Row],[feature_usage_pct]]&lt;60,"Medium Risk","Low Risk"))</f>
        <v>High Risk</v>
      </c>
      <c r="V336">
        <f ca="1">subscriptions[[#This Row],[CLV]]/200</f>
        <v>25.240499999999997</v>
      </c>
    </row>
    <row r="337" spans="1:22" x14ac:dyDescent="0.25">
      <c r="A337" t="s">
        <v>390</v>
      </c>
      <c r="B337" t="s">
        <v>36</v>
      </c>
      <c r="C337" t="s">
        <v>28</v>
      </c>
      <c r="D337" t="s">
        <v>62</v>
      </c>
      <c r="E337" s="2" t="s">
        <v>664</v>
      </c>
      <c r="F337">
        <v>5</v>
      </c>
      <c r="G337">
        <v>270.64</v>
      </c>
      <c r="H337" t="s">
        <v>22</v>
      </c>
      <c r="I337" t="s">
        <v>38</v>
      </c>
      <c r="J337" s="1">
        <v>45121</v>
      </c>
      <c r="K337" t="s">
        <v>24</v>
      </c>
      <c r="L337" s="1">
        <v>45703</v>
      </c>
      <c r="M337" t="s">
        <v>56</v>
      </c>
      <c r="N337">
        <v>7</v>
      </c>
      <c r="O337">
        <v>1</v>
      </c>
      <c r="P337">
        <v>36</v>
      </c>
      <c r="Q337" t="s">
        <v>26</v>
      </c>
      <c r="R337">
        <f>IF(subscriptions[[#This Row],[churned]]="Yes",1,0)</f>
        <v>1</v>
      </c>
      <c r="S337">
        <f ca="1">IF(subscriptions[[#This Row],[churn_flag]]=1, DATEDIF(subscriptions[[#This Row],[signup_date]],subscriptions[[#This Row],[churn_date]],"M"), DATEDIF(subscriptions[[#This Row],[signup_date]],TODAY(),"M"))</f>
        <v>19</v>
      </c>
      <c r="T337">
        <f ca="1">subscriptions[[#This Row],[monthly_revenue]]*subscriptions[[#This Row],[customer_lifetime]]</f>
        <v>5142.16</v>
      </c>
      <c r="U337" t="str">
        <f>IF(subscriptions[[#This Row],[feature_usage_pct]]&lt;30,"High Risk",IF(subscriptions[[#This Row],[feature_usage_pct]]&lt;60,"Medium Risk","Low Risk"))</f>
        <v>Medium Risk</v>
      </c>
      <c r="V337">
        <f ca="1">subscriptions[[#This Row],[CLV]]/200</f>
        <v>25.710799999999999</v>
      </c>
    </row>
    <row r="338" spans="1:22" x14ac:dyDescent="0.25">
      <c r="A338" t="s">
        <v>391</v>
      </c>
      <c r="B338" t="s">
        <v>31</v>
      </c>
      <c r="C338" t="s">
        <v>19</v>
      </c>
      <c r="D338" t="s">
        <v>49</v>
      </c>
      <c r="E338" s="2" t="s">
        <v>21</v>
      </c>
      <c r="F338">
        <v>65</v>
      </c>
      <c r="G338">
        <v>307.39999999999998</v>
      </c>
      <c r="H338" t="s">
        <v>60</v>
      </c>
      <c r="I338" t="s">
        <v>69</v>
      </c>
      <c r="J338" s="1">
        <v>44887</v>
      </c>
      <c r="K338" t="s">
        <v>24</v>
      </c>
      <c r="L338" s="1">
        <v>45004</v>
      </c>
      <c r="M338" t="s">
        <v>25</v>
      </c>
      <c r="N338">
        <v>3</v>
      </c>
      <c r="O338">
        <v>1</v>
      </c>
      <c r="P338">
        <v>45</v>
      </c>
      <c r="Q338" t="s">
        <v>26</v>
      </c>
      <c r="R338">
        <f>IF(subscriptions[[#This Row],[churned]]="Yes",1,0)</f>
        <v>1</v>
      </c>
      <c r="S338">
        <f ca="1">IF(subscriptions[[#This Row],[churn_flag]]=1, DATEDIF(subscriptions[[#This Row],[signup_date]],subscriptions[[#This Row],[churn_date]],"M"), DATEDIF(subscriptions[[#This Row],[signup_date]],TODAY(),"M"))</f>
        <v>3</v>
      </c>
      <c r="T338">
        <f ca="1">subscriptions[[#This Row],[monthly_revenue]]*subscriptions[[#This Row],[customer_lifetime]]</f>
        <v>922.19999999999993</v>
      </c>
      <c r="U338" t="str">
        <f>IF(subscriptions[[#This Row],[feature_usage_pct]]&lt;30,"High Risk",IF(subscriptions[[#This Row],[feature_usage_pct]]&lt;60,"Medium Risk","Low Risk"))</f>
        <v>Medium Risk</v>
      </c>
      <c r="V338">
        <f ca="1">subscriptions[[#This Row],[CLV]]/200</f>
        <v>4.6109999999999998</v>
      </c>
    </row>
    <row r="339" spans="1:22" x14ac:dyDescent="0.25">
      <c r="A339" t="s">
        <v>392</v>
      </c>
      <c r="B339" t="s">
        <v>31</v>
      </c>
      <c r="C339" t="s">
        <v>28</v>
      </c>
      <c r="D339" t="s">
        <v>42</v>
      </c>
      <c r="E339" s="2" t="s">
        <v>663</v>
      </c>
      <c r="F339">
        <v>26</v>
      </c>
      <c r="G339">
        <v>117.09</v>
      </c>
      <c r="H339" t="s">
        <v>34</v>
      </c>
      <c r="I339" t="s">
        <v>23</v>
      </c>
      <c r="J339" s="1">
        <v>45320</v>
      </c>
      <c r="K339" t="s">
        <v>26</v>
      </c>
      <c r="N339">
        <v>4</v>
      </c>
      <c r="O339">
        <v>8</v>
      </c>
      <c r="P339">
        <v>42</v>
      </c>
      <c r="Q339" t="s">
        <v>24</v>
      </c>
      <c r="R339">
        <f>IF(subscriptions[[#This Row],[churned]]="Yes",1,0)</f>
        <v>0</v>
      </c>
      <c r="S339">
        <f ca="1">IF(subscriptions[[#This Row],[churn_flag]]=1, DATEDIF(subscriptions[[#This Row],[signup_date]],subscriptions[[#This Row],[churn_date]],"M"), DATEDIF(subscriptions[[#This Row],[signup_date]],TODAY(),"M"))</f>
        <v>27</v>
      </c>
      <c r="T339">
        <f ca="1">subscriptions[[#This Row],[monthly_revenue]]*subscriptions[[#This Row],[customer_lifetime]]</f>
        <v>3161.4300000000003</v>
      </c>
      <c r="U339" t="str">
        <f>IF(subscriptions[[#This Row],[feature_usage_pct]]&lt;30,"High Risk",IF(subscriptions[[#This Row],[feature_usage_pct]]&lt;60,"Medium Risk","Low Risk"))</f>
        <v>Medium Risk</v>
      </c>
      <c r="V339">
        <f ca="1">subscriptions[[#This Row],[CLV]]/200</f>
        <v>15.807150000000002</v>
      </c>
    </row>
    <row r="340" spans="1:22" x14ac:dyDescent="0.25">
      <c r="A340" t="s">
        <v>393</v>
      </c>
      <c r="B340" t="s">
        <v>31</v>
      </c>
      <c r="C340" t="s">
        <v>19</v>
      </c>
      <c r="D340" t="s">
        <v>49</v>
      </c>
      <c r="E340" s="2" t="s">
        <v>664</v>
      </c>
      <c r="F340">
        <v>4</v>
      </c>
      <c r="G340">
        <v>42.05</v>
      </c>
      <c r="H340" t="s">
        <v>22</v>
      </c>
      <c r="I340" t="s">
        <v>23</v>
      </c>
      <c r="J340" s="1">
        <v>45440</v>
      </c>
      <c r="K340" t="s">
        <v>24</v>
      </c>
      <c r="L340" s="1">
        <v>45677</v>
      </c>
      <c r="M340" t="s">
        <v>25</v>
      </c>
      <c r="N340">
        <v>0</v>
      </c>
      <c r="O340">
        <v>4</v>
      </c>
      <c r="P340">
        <v>13</v>
      </c>
      <c r="Q340" t="s">
        <v>26</v>
      </c>
      <c r="R340">
        <f>IF(subscriptions[[#This Row],[churned]]="Yes",1,0)</f>
        <v>1</v>
      </c>
      <c r="S340">
        <f ca="1">IF(subscriptions[[#This Row],[churn_flag]]=1, DATEDIF(subscriptions[[#This Row],[signup_date]],subscriptions[[#This Row],[churn_date]],"M"), DATEDIF(subscriptions[[#This Row],[signup_date]],TODAY(),"M"))</f>
        <v>7</v>
      </c>
      <c r="T340">
        <f ca="1">subscriptions[[#This Row],[monthly_revenue]]*subscriptions[[#This Row],[customer_lifetime]]</f>
        <v>294.34999999999997</v>
      </c>
      <c r="U340" t="str">
        <f>IF(subscriptions[[#This Row],[feature_usage_pct]]&lt;30,"High Risk",IF(subscriptions[[#This Row],[feature_usage_pct]]&lt;60,"Medium Risk","Low Risk"))</f>
        <v>High Risk</v>
      </c>
      <c r="V340">
        <f ca="1">subscriptions[[#This Row],[CLV]]/200</f>
        <v>1.4717499999999999</v>
      </c>
    </row>
    <row r="341" spans="1:22" x14ac:dyDescent="0.25">
      <c r="A341" t="s">
        <v>394</v>
      </c>
      <c r="B341" t="s">
        <v>31</v>
      </c>
      <c r="C341" t="s">
        <v>28</v>
      </c>
      <c r="D341" t="s">
        <v>62</v>
      </c>
      <c r="E341" s="2" t="s">
        <v>45</v>
      </c>
      <c r="F341">
        <v>140</v>
      </c>
      <c r="G341">
        <v>538.6</v>
      </c>
      <c r="H341" t="s">
        <v>22</v>
      </c>
      <c r="I341" t="s">
        <v>38</v>
      </c>
      <c r="J341" s="1">
        <v>44742</v>
      </c>
      <c r="K341" t="s">
        <v>24</v>
      </c>
      <c r="L341" s="1">
        <v>44835</v>
      </c>
      <c r="M341" t="s">
        <v>53</v>
      </c>
      <c r="N341">
        <v>14</v>
      </c>
      <c r="O341">
        <v>2</v>
      </c>
      <c r="P341">
        <v>43</v>
      </c>
      <c r="Q341" t="s">
        <v>26</v>
      </c>
      <c r="R341">
        <f>IF(subscriptions[[#This Row],[churned]]="Yes",1,0)</f>
        <v>1</v>
      </c>
      <c r="S341">
        <f ca="1">IF(subscriptions[[#This Row],[churn_flag]]=1, DATEDIF(subscriptions[[#This Row],[signup_date]],subscriptions[[#This Row],[churn_date]],"M"), DATEDIF(subscriptions[[#This Row],[signup_date]],TODAY(),"M"))</f>
        <v>3</v>
      </c>
      <c r="T341">
        <f ca="1">subscriptions[[#This Row],[monthly_revenue]]*subscriptions[[#This Row],[customer_lifetime]]</f>
        <v>1615.8000000000002</v>
      </c>
      <c r="U341" t="str">
        <f>IF(subscriptions[[#This Row],[feature_usage_pct]]&lt;30,"High Risk",IF(subscriptions[[#This Row],[feature_usage_pct]]&lt;60,"Medium Risk","Low Risk"))</f>
        <v>Medium Risk</v>
      </c>
      <c r="V341">
        <f ca="1">subscriptions[[#This Row],[CLV]]/200</f>
        <v>8.0790000000000006</v>
      </c>
    </row>
    <row r="342" spans="1:22" x14ac:dyDescent="0.25">
      <c r="A342" t="s">
        <v>395</v>
      </c>
      <c r="B342" t="s">
        <v>31</v>
      </c>
      <c r="C342" t="s">
        <v>19</v>
      </c>
      <c r="D342" t="s">
        <v>37</v>
      </c>
      <c r="E342" s="2" t="s">
        <v>45</v>
      </c>
      <c r="F342">
        <v>41</v>
      </c>
      <c r="G342">
        <v>203</v>
      </c>
      <c r="H342" t="s">
        <v>60</v>
      </c>
      <c r="I342" t="s">
        <v>23</v>
      </c>
      <c r="J342" s="1">
        <v>45735</v>
      </c>
      <c r="K342" t="s">
        <v>24</v>
      </c>
      <c r="L342" s="1">
        <v>45832</v>
      </c>
      <c r="M342" t="s">
        <v>63</v>
      </c>
      <c r="N342">
        <v>12</v>
      </c>
      <c r="O342">
        <v>1</v>
      </c>
      <c r="P342">
        <v>40</v>
      </c>
      <c r="Q342" t="s">
        <v>26</v>
      </c>
      <c r="R342">
        <f>IF(subscriptions[[#This Row],[churned]]="Yes",1,0)</f>
        <v>1</v>
      </c>
      <c r="S342">
        <f ca="1">IF(subscriptions[[#This Row],[churn_flag]]=1, DATEDIF(subscriptions[[#This Row],[signup_date]],subscriptions[[#This Row],[churn_date]],"M"), DATEDIF(subscriptions[[#This Row],[signup_date]],TODAY(),"M"))</f>
        <v>3</v>
      </c>
      <c r="T342">
        <f ca="1">subscriptions[[#This Row],[monthly_revenue]]*subscriptions[[#This Row],[customer_lifetime]]</f>
        <v>609</v>
      </c>
      <c r="U342" t="str">
        <f>IF(subscriptions[[#This Row],[feature_usage_pct]]&lt;30,"High Risk",IF(subscriptions[[#This Row],[feature_usage_pct]]&lt;60,"Medium Risk","Low Risk"))</f>
        <v>Medium Risk</v>
      </c>
      <c r="V342">
        <f ca="1">subscriptions[[#This Row],[CLV]]/200</f>
        <v>3.0449999999999999</v>
      </c>
    </row>
    <row r="343" spans="1:22" x14ac:dyDescent="0.25">
      <c r="A343" t="s">
        <v>396</v>
      </c>
      <c r="B343" t="s">
        <v>31</v>
      </c>
      <c r="C343" t="s">
        <v>28</v>
      </c>
      <c r="D343" t="s">
        <v>20</v>
      </c>
      <c r="E343" s="2" t="s">
        <v>45</v>
      </c>
      <c r="F343">
        <v>78</v>
      </c>
      <c r="G343">
        <v>309.36</v>
      </c>
      <c r="H343" t="s">
        <v>60</v>
      </c>
      <c r="I343" t="s">
        <v>38</v>
      </c>
      <c r="J343" s="1">
        <v>45519</v>
      </c>
      <c r="K343" t="s">
        <v>24</v>
      </c>
      <c r="L343" s="1">
        <v>45884</v>
      </c>
      <c r="M343" t="s">
        <v>50</v>
      </c>
      <c r="N343">
        <v>3</v>
      </c>
      <c r="O343">
        <v>1</v>
      </c>
      <c r="P343">
        <v>35</v>
      </c>
      <c r="Q343" t="s">
        <v>26</v>
      </c>
      <c r="R343">
        <f>IF(subscriptions[[#This Row],[churned]]="Yes",1,0)</f>
        <v>1</v>
      </c>
      <c r="S343">
        <f ca="1">IF(subscriptions[[#This Row],[churn_flag]]=1, DATEDIF(subscriptions[[#This Row],[signup_date]],subscriptions[[#This Row],[churn_date]],"M"), DATEDIF(subscriptions[[#This Row],[signup_date]],TODAY(),"M"))</f>
        <v>12</v>
      </c>
      <c r="T343">
        <f ca="1">subscriptions[[#This Row],[monthly_revenue]]*subscriptions[[#This Row],[customer_lifetime]]</f>
        <v>3712.32</v>
      </c>
      <c r="U343" t="str">
        <f>IF(subscriptions[[#This Row],[feature_usage_pct]]&lt;30,"High Risk",IF(subscriptions[[#This Row],[feature_usage_pct]]&lt;60,"Medium Risk","Low Risk"))</f>
        <v>Medium Risk</v>
      </c>
      <c r="V343">
        <f ca="1">subscriptions[[#This Row],[CLV]]/200</f>
        <v>18.561600000000002</v>
      </c>
    </row>
    <row r="344" spans="1:22" x14ac:dyDescent="0.25">
      <c r="A344" t="s">
        <v>397</v>
      </c>
      <c r="B344" t="s">
        <v>36</v>
      </c>
      <c r="C344" t="s">
        <v>28</v>
      </c>
      <c r="D344" t="s">
        <v>68</v>
      </c>
      <c r="E344" s="2" t="s">
        <v>663</v>
      </c>
      <c r="F344">
        <v>12</v>
      </c>
      <c r="G344">
        <v>448.25</v>
      </c>
      <c r="H344" t="s">
        <v>43</v>
      </c>
      <c r="I344" t="s">
        <v>69</v>
      </c>
      <c r="J344" s="1">
        <v>45069</v>
      </c>
      <c r="K344" t="s">
        <v>24</v>
      </c>
      <c r="L344" s="1">
        <v>45765</v>
      </c>
      <c r="M344" t="s">
        <v>63</v>
      </c>
      <c r="N344">
        <v>12</v>
      </c>
      <c r="O344">
        <v>6</v>
      </c>
      <c r="P344">
        <v>19</v>
      </c>
      <c r="Q344" t="s">
        <v>26</v>
      </c>
      <c r="R344">
        <f>IF(subscriptions[[#This Row],[churned]]="Yes",1,0)</f>
        <v>1</v>
      </c>
      <c r="S344">
        <f ca="1">IF(subscriptions[[#This Row],[churn_flag]]=1, DATEDIF(subscriptions[[#This Row],[signup_date]],subscriptions[[#This Row],[churn_date]],"M"), DATEDIF(subscriptions[[#This Row],[signup_date]],TODAY(),"M"))</f>
        <v>22</v>
      </c>
      <c r="T344">
        <f ca="1">subscriptions[[#This Row],[monthly_revenue]]*subscriptions[[#This Row],[customer_lifetime]]</f>
        <v>9861.5</v>
      </c>
      <c r="U344" t="str">
        <f>IF(subscriptions[[#This Row],[feature_usage_pct]]&lt;30,"High Risk",IF(subscriptions[[#This Row],[feature_usage_pct]]&lt;60,"Medium Risk","Low Risk"))</f>
        <v>High Risk</v>
      </c>
      <c r="V344">
        <f ca="1">subscriptions[[#This Row],[CLV]]/200</f>
        <v>49.307499999999997</v>
      </c>
    </row>
    <row r="345" spans="1:22" x14ac:dyDescent="0.25">
      <c r="A345" t="s">
        <v>398</v>
      </c>
      <c r="B345" t="s">
        <v>18</v>
      </c>
      <c r="C345" t="s">
        <v>19</v>
      </c>
      <c r="D345" t="s">
        <v>20</v>
      </c>
      <c r="E345" s="2" t="s">
        <v>663</v>
      </c>
      <c r="F345">
        <v>32</v>
      </c>
      <c r="G345">
        <v>446.35</v>
      </c>
      <c r="H345" t="s">
        <v>43</v>
      </c>
      <c r="I345" t="s">
        <v>55</v>
      </c>
      <c r="J345" s="1">
        <v>44703</v>
      </c>
      <c r="K345" t="s">
        <v>24</v>
      </c>
      <c r="L345" s="1">
        <v>45092</v>
      </c>
      <c r="M345" t="s">
        <v>56</v>
      </c>
      <c r="N345">
        <v>3</v>
      </c>
      <c r="O345">
        <v>3</v>
      </c>
      <c r="P345">
        <v>29</v>
      </c>
      <c r="Q345" t="s">
        <v>26</v>
      </c>
      <c r="R345">
        <f>IF(subscriptions[[#This Row],[churned]]="Yes",1,0)</f>
        <v>1</v>
      </c>
      <c r="S345">
        <f ca="1">IF(subscriptions[[#This Row],[churn_flag]]=1, DATEDIF(subscriptions[[#This Row],[signup_date]],subscriptions[[#This Row],[churn_date]],"M"), DATEDIF(subscriptions[[#This Row],[signup_date]],TODAY(),"M"))</f>
        <v>12</v>
      </c>
      <c r="T345">
        <f ca="1">subscriptions[[#This Row],[monthly_revenue]]*subscriptions[[#This Row],[customer_lifetime]]</f>
        <v>5356.2000000000007</v>
      </c>
      <c r="U345" t="str">
        <f>IF(subscriptions[[#This Row],[feature_usage_pct]]&lt;30,"High Risk",IF(subscriptions[[#This Row],[feature_usage_pct]]&lt;60,"Medium Risk","Low Risk"))</f>
        <v>High Risk</v>
      </c>
      <c r="V345">
        <f ca="1">subscriptions[[#This Row],[CLV]]/200</f>
        <v>26.781000000000002</v>
      </c>
    </row>
    <row r="346" spans="1:22" x14ac:dyDescent="0.25">
      <c r="A346" t="s">
        <v>399</v>
      </c>
      <c r="B346" t="s">
        <v>36</v>
      </c>
      <c r="C346" t="s">
        <v>28</v>
      </c>
      <c r="D346" t="s">
        <v>62</v>
      </c>
      <c r="E346" s="2" t="s">
        <v>664</v>
      </c>
      <c r="F346">
        <v>4</v>
      </c>
      <c r="G346">
        <v>245.27</v>
      </c>
      <c r="H346" t="s">
        <v>60</v>
      </c>
      <c r="I346" t="s">
        <v>38</v>
      </c>
      <c r="J346" s="1">
        <v>44830</v>
      </c>
      <c r="K346" t="s">
        <v>26</v>
      </c>
      <c r="N346">
        <v>4</v>
      </c>
      <c r="O346">
        <v>2</v>
      </c>
      <c r="P346">
        <v>93</v>
      </c>
      <c r="Q346" t="s">
        <v>26</v>
      </c>
      <c r="R346">
        <f>IF(subscriptions[[#This Row],[churned]]="Yes",1,0)</f>
        <v>0</v>
      </c>
      <c r="S346">
        <f ca="1">IF(subscriptions[[#This Row],[churn_flag]]=1, DATEDIF(subscriptions[[#This Row],[signup_date]],subscriptions[[#This Row],[churn_date]],"M"), DATEDIF(subscriptions[[#This Row],[signup_date]],TODAY(),"M"))</f>
        <v>43</v>
      </c>
      <c r="T346">
        <f ca="1">subscriptions[[#This Row],[monthly_revenue]]*subscriptions[[#This Row],[customer_lifetime]]</f>
        <v>10546.61</v>
      </c>
      <c r="U346" t="str">
        <f>IF(subscriptions[[#This Row],[feature_usage_pct]]&lt;30,"High Risk",IF(subscriptions[[#This Row],[feature_usage_pct]]&lt;60,"Medium Risk","Low Risk"))</f>
        <v>Low Risk</v>
      </c>
      <c r="V346">
        <f ca="1">subscriptions[[#This Row],[CLV]]/200</f>
        <v>52.733050000000006</v>
      </c>
    </row>
    <row r="347" spans="1:22" x14ac:dyDescent="0.25">
      <c r="A347" t="s">
        <v>400</v>
      </c>
      <c r="B347" t="s">
        <v>36</v>
      </c>
      <c r="C347" t="s">
        <v>19</v>
      </c>
      <c r="D347" t="s">
        <v>62</v>
      </c>
      <c r="E347" s="2" t="s">
        <v>45</v>
      </c>
      <c r="F347">
        <v>126</v>
      </c>
      <c r="G347">
        <v>3930.25</v>
      </c>
      <c r="H347" t="s">
        <v>60</v>
      </c>
      <c r="I347" t="s">
        <v>23</v>
      </c>
      <c r="J347" s="1">
        <v>45979</v>
      </c>
      <c r="K347" t="s">
        <v>26</v>
      </c>
      <c r="N347">
        <v>9</v>
      </c>
      <c r="O347">
        <v>8</v>
      </c>
      <c r="P347">
        <v>20</v>
      </c>
      <c r="Q347" t="s">
        <v>26</v>
      </c>
      <c r="R347">
        <f>IF(subscriptions[[#This Row],[churned]]="Yes",1,0)</f>
        <v>0</v>
      </c>
      <c r="S347">
        <f ca="1">IF(subscriptions[[#This Row],[churn_flag]]=1, DATEDIF(subscriptions[[#This Row],[signup_date]],subscriptions[[#This Row],[churn_date]],"M"), DATEDIF(subscriptions[[#This Row],[signup_date]],TODAY(),"M"))</f>
        <v>5</v>
      </c>
      <c r="T347">
        <f ca="1">subscriptions[[#This Row],[monthly_revenue]]*subscriptions[[#This Row],[customer_lifetime]]</f>
        <v>19651.25</v>
      </c>
      <c r="U347" t="str">
        <f>IF(subscriptions[[#This Row],[feature_usage_pct]]&lt;30,"High Risk",IF(subscriptions[[#This Row],[feature_usage_pct]]&lt;60,"Medium Risk","Low Risk"))</f>
        <v>High Risk</v>
      </c>
      <c r="V347">
        <f ca="1">subscriptions[[#This Row],[CLV]]/200</f>
        <v>98.256249999999994</v>
      </c>
    </row>
    <row r="348" spans="1:22" x14ac:dyDescent="0.25">
      <c r="A348" t="s">
        <v>401</v>
      </c>
      <c r="B348" t="s">
        <v>18</v>
      </c>
      <c r="C348" t="s">
        <v>28</v>
      </c>
      <c r="D348" t="s">
        <v>49</v>
      </c>
      <c r="E348" s="2" t="s">
        <v>21</v>
      </c>
      <c r="F348">
        <v>17</v>
      </c>
      <c r="G348">
        <v>228.31</v>
      </c>
      <c r="H348" t="s">
        <v>22</v>
      </c>
      <c r="I348" t="s">
        <v>38</v>
      </c>
      <c r="J348" s="1">
        <v>45925</v>
      </c>
      <c r="K348" t="s">
        <v>26</v>
      </c>
      <c r="N348">
        <v>5</v>
      </c>
      <c r="O348">
        <v>4</v>
      </c>
      <c r="P348">
        <v>21</v>
      </c>
      <c r="Q348" t="s">
        <v>26</v>
      </c>
      <c r="R348">
        <f>IF(subscriptions[[#This Row],[churned]]="Yes",1,0)</f>
        <v>0</v>
      </c>
      <c r="S348">
        <f ca="1">IF(subscriptions[[#This Row],[churn_flag]]=1, DATEDIF(subscriptions[[#This Row],[signup_date]],subscriptions[[#This Row],[churn_date]],"M"), DATEDIF(subscriptions[[#This Row],[signup_date]],TODAY(),"M"))</f>
        <v>7</v>
      </c>
      <c r="T348">
        <f ca="1">subscriptions[[#This Row],[monthly_revenue]]*subscriptions[[#This Row],[customer_lifetime]]</f>
        <v>1598.17</v>
      </c>
      <c r="U348" t="str">
        <f>IF(subscriptions[[#This Row],[feature_usage_pct]]&lt;30,"High Risk",IF(subscriptions[[#This Row],[feature_usage_pct]]&lt;60,"Medium Risk","Low Risk"))</f>
        <v>High Risk</v>
      </c>
      <c r="V348">
        <f ca="1">subscriptions[[#This Row],[CLV]]/200</f>
        <v>7.99085</v>
      </c>
    </row>
    <row r="349" spans="1:22" x14ac:dyDescent="0.25">
      <c r="A349" t="s">
        <v>402</v>
      </c>
      <c r="B349" t="s">
        <v>36</v>
      </c>
      <c r="C349" t="s">
        <v>19</v>
      </c>
      <c r="D349" t="s">
        <v>42</v>
      </c>
      <c r="E349" s="2" t="s">
        <v>21</v>
      </c>
      <c r="F349">
        <v>73</v>
      </c>
      <c r="G349">
        <v>2348.1999999999998</v>
      </c>
      <c r="H349" t="s">
        <v>22</v>
      </c>
      <c r="I349" t="s">
        <v>55</v>
      </c>
      <c r="J349" s="1">
        <v>45813</v>
      </c>
      <c r="K349" t="s">
        <v>26</v>
      </c>
      <c r="N349">
        <v>9</v>
      </c>
      <c r="O349">
        <v>5</v>
      </c>
      <c r="P349">
        <v>74</v>
      </c>
      <c r="Q349" t="s">
        <v>26</v>
      </c>
      <c r="R349">
        <f>IF(subscriptions[[#This Row],[churned]]="Yes",1,0)</f>
        <v>0</v>
      </c>
      <c r="S349">
        <f ca="1">IF(subscriptions[[#This Row],[churn_flag]]=1, DATEDIF(subscriptions[[#This Row],[signup_date]],subscriptions[[#This Row],[churn_date]],"M"), DATEDIF(subscriptions[[#This Row],[signup_date]],TODAY(),"M"))</f>
        <v>11</v>
      </c>
      <c r="T349">
        <f ca="1">subscriptions[[#This Row],[monthly_revenue]]*subscriptions[[#This Row],[customer_lifetime]]</f>
        <v>25830.199999999997</v>
      </c>
      <c r="U349" t="str">
        <f>IF(subscriptions[[#This Row],[feature_usage_pct]]&lt;30,"High Risk",IF(subscriptions[[#This Row],[feature_usage_pct]]&lt;60,"Medium Risk","Low Risk"))</f>
        <v>Low Risk</v>
      </c>
      <c r="V349">
        <f ca="1">subscriptions[[#This Row],[CLV]]/200</f>
        <v>129.15099999999998</v>
      </c>
    </row>
    <row r="350" spans="1:22" x14ac:dyDescent="0.25">
      <c r="A350" t="s">
        <v>403</v>
      </c>
      <c r="B350" t="s">
        <v>36</v>
      </c>
      <c r="C350" t="s">
        <v>28</v>
      </c>
      <c r="D350" t="s">
        <v>68</v>
      </c>
      <c r="E350" s="2" t="s">
        <v>663</v>
      </c>
      <c r="F350">
        <v>29</v>
      </c>
      <c r="G350">
        <v>879.58</v>
      </c>
      <c r="H350" t="s">
        <v>60</v>
      </c>
      <c r="I350" t="s">
        <v>23</v>
      </c>
      <c r="J350" s="1">
        <v>45457</v>
      </c>
      <c r="K350" t="s">
        <v>26</v>
      </c>
      <c r="N350">
        <v>7</v>
      </c>
      <c r="O350">
        <v>10</v>
      </c>
      <c r="P350">
        <v>33</v>
      </c>
      <c r="Q350" t="s">
        <v>26</v>
      </c>
      <c r="R350">
        <f>IF(subscriptions[[#This Row],[churned]]="Yes",1,0)</f>
        <v>0</v>
      </c>
      <c r="S350">
        <f ca="1">IF(subscriptions[[#This Row],[churn_flag]]=1, DATEDIF(subscriptions[[#This Row],[signup_date]],subscriptions[[#This Row],[churn_date]],"M"), DATEDIF(subscriptions[[#This Row],[signup_date]],TODAY(),"M"))</f>
        <v>22</v>
      </c>
      <c r="T350">
        <f ca="1">subscriptions[[#This Row],[monthly_revenue]]*subscriptions[[#This Row],[customer_lifetime]]</f>
        <v>19350.760000000002</v>
      </c>
      <c r="U350" t="str">
        <f>IF(subscriptions[[#This Row],[feature_usage_pct]]&lt;30,"High Risk",IF(subscriptions[[#This Row],[feature_usage_pct]]&lt;60,"Medium Risk","Low Risk"))</f>
        <v>Medium Risk</v>
      </c>
      <c r="V350">
        <f ca="1">subscriptions[[#This Row],[CLV]]/200</f>
        <v>96.753800000000012</v>
      </c>
    </row>
    <row r="351" spans="1:22" x14ac:dyDescent="0.25">
      <c r="A351" t="s">
        <v>404</v>
      </c>
      <c r="B351" t="s">
        <v>18</v>
      </c>
      <c r="C351" t="s">
        <v>19</v>
      </c>
      <c r="D351" t="s">
        <v>49</v>
      </c>
      <c r="E351" s="2" t="s">
        <v>21</v>
      </c>
      <c r="F351">
        <v>59</v>
      </c>
      <c r="G351">
        <v>766.3</v>
      </c>
      <c r="H351" t="s">
        <v>98</v>
      </c>
      <c r="I351" t="s">
        <v>23</v>
      </c>
      <c r="J351" s="1">
        <v>44619</v>
      </c>
      <c r="K351" t="s">
        <v>24</v>
      </c>
      <c r="L351" s="1">
        <v>44837</v>
      </c>
      <c r="M351" t="s">
        <v>50</v>
      </c>
      <c r="N351">
        <v>6</v>
      </c>
      <c r="O351">
        <v>2</v>
      </c>
      <c r="P351">
        <v>21</v>
      </c>
      <c r="Q351" t="s">
        <v>26</v>
      </c>
      <c r="R351">
        <f>IF(subscriptions[[#This Row],[churned]]="Yes",1,0)</f>
        <v>1</v>
      </c>
      <c r="S351">
        <f ca="1">IF(subscriptions[[#This Row],[churn_flag]]=1, DATEDIF(subscriptions[[#This Row],[signup_date]],subscriptions[[#This Row],[churn_date]],"M"), DATEDIF(subscriptions[[#This Row],[signup_date]],TODAY(),"M"))</f>
        <v>7</v>
      </c>
      <c r="T351">
        <f ca="1">subscriptions[[#This Row],[monthly_revenue]]*subscriptions[[#This Row],[customer_lifetime]]</f>
        <v>5364.0999999999995</v>
      </c>
      <c r="U351" t="str">
        <f>IF(subscriptions[[#This Row],[feature_usage_pct]]&lt;30,"High Risk",IF(subscriptions[[#This Row],[feature_usage_pct]]&lt;60,"Medium Risk","Low Risk"))</f>
        <v>High Risk</v>
      </c>
      <c r="V351">
        <f ca="1">subscriptions[[#This Row],[CLV]]/200</f>
        <v>26.820499999999996</v>
      </c>
    </row>
    <row r="352" spans="1:22" x14ac:dyDescent="0.25">
      <c r="A352" t="s">
        <v>405</v>
      </c>
      <c r="B352" t="s">
        <v>31</v>
      </c>
      <c r="C352" t="s">
        <v>28</v>
      </c>
      <c r="D352" t="s">
        <v>20</v>
      </c>
      <c r="E352" s="2" t="s">
        <v>664</v>
      </c>
      <c r="F352">
        <v>4</v>
      </c>
      <c r="G352">
        <v>35.74</v>
      </c>
      <c r="H352" t="s">
        <v>60</v>
      </c>
      <c r="I352" t="s">
        <v>23</v>
      </c>
      <c r="J352" s="1">
        <v>45494</v>
      </c>
      <c r="K352" t="s">
        <v>24</v>
      </c>
      <c r="L352" s="1">
        <v>45629</v>
      </c>
      <c r="M352" t="s">
        <v>82</v>
      </c>
      <c r="N352">
        <v>8</v>
      </c>
      <c r="O352">
        <v>6</v>
      </c>
      <c r="P352">
        <v>47</v>
      </c>
      <c r="Q352" t="s">
        <v>26</v>
      </c>
      <c r="R352">
        <f>IF(subscriptions[[#This Row],[churned]]="Yes",1,0)</f>
        <v>1</v>
      </c>
      <c r="S352">
        <f ca="1">IF(subscriptions[[#This Row],[churn_flag]]=1, DATEDIF(subscriptions[[#This Row],[signup_date]],subscriptions[[#This Row],[churn_date]],"M"), DATEDIF(subscriptions[[#This Row],[signup_date]],TODAY(),"M"))</f>
        <v>4</v>
      </c>
      <c r="T352">
        <f ca="1">subscriptions[[#This Row],[monthly_revenue]]*subscriptions[[#This Row],[customer_lifetime]]</f>
        <v>142.96</v>
      </c>
      <c r="U352" t="str">
        <f>IF(subscriptions[[#This Row],[feature_usage_pct]]&lt;30,"High Risk",IF(subscriptions[[#This Row],[feature_usage_pct]]&lt;60,"Medium Risk","Low Risk"))</f>
        <v>Medium Risk</v>
      </c>
      <c r="V352">
        <f ca="1">subscriptions[[#This Row],[CLV]]/200</f>
        <v>0.71479999999999999</v>
      </c>
    </row>
    <row r="353" spans="1:22" x14ac:dyDescent="0.25">
      <c r="A353" t="s">
        <v>406</v>
      </c>
      <c r="B353" t="s">
        <v>31</v>
      </c>
      <c r="C353" t="s">
        <v>19</v>
      </c>
      <c r="D353" t="s">
        <v>62</v>
      </c>
      <c r="E353" s="2" t="s">
        <v>33</v>
      </c>
      <c r="F353">
        <v>130</v>
      </c>
      <c r="G353">
        <v>590.15</v>
      </c>
      <c r="H353" t="s">
        <v>34</v>
      </c>
      <c r="I353" t="s">
        <v>38</v>
      </c>
      <c r="J353" s="1">
        <v>45125</v>
      </c>
      <c r="K353" t="s">
        <v>24</v>
      </c>
      <c r="L353" s="1">
        <v>45423</v>
      </c>
      <c r="M353" t="s">
        <v>53</v>
      </c>
      <c r="N353">
        <v>5</v>
      </c>
      <c r="O353">
        <v>4</v>
      </c>
      <c r="P353">
        <v>23</v>
      </c>
      <c r="Q353" t="s">
        <v>26</v>
      </c>
      <c r="R353">
        <f>IF(subscriptions[[#This Row],[churned]]="Yes",1,0)</f>
        <v>1</v>
      </c>
      <c r="S353">
        <f ca="1">IF(subscriptions[[#This Row],[churn_flag]]=1, DATEDIF(subscriptions[[#This Row],[signup_date]],subscriptions[[#This Row],[churn_date]],"M"), DATEDIF(subscriptions[[#This Row],[signup_date]],TODAY(),"M"))</f>
        <v>9</v>
      </c>
      <c r="T353">
        <f ca="1">subscriptions[[#This Row],[monthly_revenue]]*subscriptions[[#This Row],[customer_lifetime]]</f>
        <v>5311.3499999999995</v>
      </c>
      <c r="U353" t="str">
        <f>IF(subscriptions[[#This Row],[feature_usage_pct]]&lt;30,"High Risk",IF(subscriptions[[#This Row],[feature_usage_pct]]&lt;60,"Medium Risk","Low Risk"))</f>
        <v>High Risk</v>
      </c>
      <c r="V353">
        <f ca="1">subscriptions[[#This Row],[CLV]]/200</f>
        <v>26.556749999999997</v>
      </c>
    </row>
    <row r="354" spans="1:22" x14ac:dyDescent="0.25">
      <c r="A354" t="s">
        <v>407</v>
      </c>
      <c r="B354" t="s">
        <v>36</v>
      </c>
      <c r="C354" t="s">
        <v>28</v>
      </c>
      <c r="D354" t="s">
        <v>52</v>
      </c>
      <c r="E354" s="2" t="s">
        <v>45</v>
      </c>
      <c r="F354">
        <v>61</v>
      </c>
      <c r="G354">
        <v>1691.5</v>
      </c>
      <c r="H354" t="s">
        <v>98</v>
      </c>
      <c r="I354" t="s">
        <v>38</v>
      </c>
      <c r="J354" s="1">
        <v>45749</v>
      </c>
      <c r="K354" t="s">
        <v>24</v>
      </c>
      <c r="L354" s="1">
        <v>45793</v>
      </c>
      <c r="M354" t="s">
        <v>82</v>
      </c>
      <c r="N354">
        <v>15</v>
      </c>
      <c r="O354">
        <v>5</v>
      </c>
      <c r="P354">
        <v>33</v>
      </c>
      <c r="Q354" t="s">
        <v>26</v>
      </c>
      <c r="R354">
        <f>IF(subscriptions[[#This Row],[churned]]="Yes",1,0)</f>
        <v>1</v>
      </c>
      <c r="S354">
        <f ca="1">IF(subscriptions[[#This Row],[churn_flag]]=1, DATEDIF(subscriptions[[#This Row],[signup_date]],subscriptions[[#This Row],[churn_date]],"M"), DATEDIF(subscriptions[[#This Row],[signup_date]],TODAY(),"M"))</f>
        <v>1</v>
      </c>
      <c r="T354">
        <f ca="1">subscriptions[[#This Row],[monthly_revenue]]*subscriptions[[#This Row],[customer_lifetime]]</f>
        <v>1691.5</v>
      </c>
      <c r="U354" t="str">
        <f>IF(subscriptions[[#This Row],[feature_usage_pct]]&lt;30,"High Risk",IF(subscriptions[[#This Row],[feature_usage_pct]]&lt;60,"Medium Risk","Low Risk"))</f>
        <v>Medium Risk</v>
      </c>
      <c r="V354">
        <f ca="1">subscriptions[[#This Row],[CLV]]/200</f>
        <v>8.4574999999999996</v>
      </c>
    </row>
    <row r="355" spans="1:22" x14ac:dyDescent="0.25">
      <c r="A355" t="s">
        <v>408</v>
      </c>
      <c r="B355" t="s">
        <v>36</v>
      </c>
      <c r="C355" t="s">
        <v>28</v>
      </c>
      <c r="D355" t="s">
        <v>32</v>
      </c>
      <c r="E355" s="2" t="s">
        <v>664</v>
      </c>
      <c r="F355">
        <v>8</v>
      </c>
      <c r="G355">
        <v>346.76</v>
      </c>
      <c r="H355" t="s">
        <v>34</v>
      </c>
      <c r="I355" t="s">
        <v>23</v>
      </c>
      <c r="J355" s="1">
        <v>44737</v>
      </c>
      <c r="K355" t="s">
        <v>24</v>
      </c>
      <c r="L355" s="1">
        <v>45655</v>
      </c>
      <c r="M355" t="s">
        <v>46</v>
      </c>
      <c r="N355">
        <v>10</v>
      </c>
      <c r="O355">
        <v>6</v>
      </c>
      <c r="P355">
        <v>30</v>
      </c>
      <c r="Q355" t="s">
        <v>26</v>
      </c>
      <c r="R355">
        <f>IF(subscriptions[[#This Row],[churned]]="Yes",1,0)</f>
        <v>1</v>
      </c>
      <c r="S355">
        <f ca="1">IF(subscriptions[[#This Row],[churn_flag]]=1, DATEDIF(subscriptions[[#This Row],[signup_date]],subscriptions[[#This Row],[churn_date]],"M"), DATEDIF(subscriptions[[#This Row],[signup_date]],TODAY(),"M"))</f>
        <v>30</v>
      </c>
      <c r="T355">
        <f ca="1">subscriptions[[#This Row],[monthly_revenue]]*subscriptions[[#This Row],[customer_lifetime]]</f>
        <v>10402.799999999999</v>
      </c>
      <c r="U355" t="str">
        <f>IF(subscriptions[[#This Row],[feature_usage_pct]]&lt;30,"High Risk",IF(subscriptions[[#This Row],[feature_usage_pct]]&lt;60,"Medium Risk","Low Risk"))</f>
        <v>Medium Risk</v>
      </c>
      <c r="V355">
        <f ca="1">subscriptions[[#This Row],[CLV]]/200</f>
        <v>52.013999999999996</v>
      </c>
    </row>
    <row r="356" spans="1:22" x14ac:dyDescent="0.25">
      <c r="A356" t="s">
        <v>409</v>
      </c>
      <c r="B356" t="s">
        <v>31</v>
      </c>
      <c r="C356" t="s">
        <v>28</v>
      </c>
      <c r="D356" t="s">
        <v>52</v>
      </c>
      <c r="E356" s="2" t="s">
        <v>21</v>
      </c>
      <c r="F356">
        <v>43</v>
      </c>
      <c r="G356">
        <v>179.94</v>
      </c>
      <c r="H356" t="s">
        <v>22</v>
      </c>
      <c r="I356" t="s">
        <v>23</v>
      </c>
      <c r="J356" s="1">
        <v>45592</v>
      </c>
      <c r="K356" t="s">
        <v>26</v>
      </c>
      <c r="N356">
        <v>3</v>
      </c>
      <c r="O356">
        <v>3</v>
      </c>
      <c r="P356">
        <v>63</v>
      </c>
      <c r="Q356" t="s">
        <v>26</v>
      </c>
      <c r="R356">
        <f>IF(subscriptions[[#This Row],[churned]]="Yes",1,0)</f>
        <v>0</v>
      </c>
      <c r="S356">
        <f ca="1">IF(subscriptions[[#This Row],[churn_flag]]=1, DATEDIF(subscriptions[[#This Row],[signup_date]],subscriptions[[#This Row],[churn_date]],"M"), DATEDIF(subscriptions[[#This Row],[signup_date]],TODAY(),"M"))</f>
        <v>18</v>
      </c>
      <c r="T356">
        <f ca="1">subscriptions[[#This Row],[monthly_revenue]]*subscriptions[[#This Row],[customer_lifetime]]</f>
        <v>3238.92</v>
      </c>
      <c r="U356" t="str">
        <f>IF(subscriptions[[#This Row],[feature_usage_pct]]&lt;30,"High Risk",IF(subscriptions[[#This Row],[feature_usage_pct]]&lt;60,"Medium Risk","Low Risk"))</f>
        <v>Low Risk</v>
      </c>
      <c r="V356">
        <f ca="1">subscriptions[[#This Row],[CLV]]/200</f>
        <v>16.194600000000001</v>
      </c>
    </row>
    <row r="357" spans="1:22" x14ac:dyDescent="0.25">
      <c r="A357" t="s">
        <v>410</v>
      </c>
      <c r="B357" t="s">
        <v>31</v>
      </c>
      <c r="C357" t="s">
        <v>28</v>
      </c>
      <c r="D357" t="s">
        <v>49</v>
      </c>
      <c r="E357" s="2" t="s">
        <v>663</v>
      </c>
      <c r="F357">
        <v>6</v>
      </c>
      <c r="G357">
        <v>43.14</v>
      </c>
      <c r="H357" t="s">
        <v>22</v>
      </c>
      <c r="I357" t="s">
        <v>23</v>
      </c>
      <c r="J357" s="1">
        <v>44817</v>
      </c>
      <c r="K357" t="s">
        <v>24</v>
      </c>
      <c r="L357" s="1">
        <v>44870</v>
      </c>
      <c r="M357" t="s">
        <v>46</v>
      </c>
      <c r="N357">
        <v>15</v>
      </c>
      <c r="O357">
        <v>3</v>
      </c>
      <c r="P357">
        <v>46</v>
      </c>
      <c r="Q357" t="s">
        <v>26</v>
      </c>
      <c r="R357">
        <f>IF(subscriptions[[#This Row],[churned]]="Yes",1,0)</f>
        <v>1</v>
      </c>
      <c r="S357">
        <f ca="1">IF(subscriptions[[#This Row],[churn_flag]]=1, DATEDIF(subscriptions[[#This Row],[signup_date]],subscriptions[[#This Row],[churn_date]],"M"), DATEDIF(subscriptions[[#This Row],[signup_date]],TODAY(),"M"))</f>
        <v>1</v>
      </c>
      <c r="T357">
        <f ca="1">subscriptions[[#This Row],[monthly_revenue]]*subscriptions[[#This Row],[customer_lifetime]]</f>
        <v>43.14</v>
      </c>
      <c r="U357" t="str">
        <f>IF(subscriptions[[#This Row],[feature_usage_pct]]&lt;30,"High Risk",IF(subscriptions[[#This Row],[feature_usage_pct]]&lt;60,"Medium Risk","Low Risk"))</f>
        <v>Medium Risk</v>
      </c>
      <c r="V357">
        <f ca="1">subscriptions[[#This Row],[CLV]]/200</f>
        <v>0.2157</v>
      </c>
    </row>
    <row r="358" spans="1:22" x14ac:dyDescent="0.25">
      <c r="A358" t="s">
        <v>411</v>
      </c>
      <c r="B358" t="s">
        <v>31</v>
      </c>
      <c r="C358" t="s">
        <v>28</v>
      </c>
      <c r="D358" t="s">
        <v>52</v>
      </c>
      <c r="E358" s="2" t="s">
        <v>45</v>
      </c>
      <c r="F358">
        <v>92</v>
      </c>
      <c r="G358">
        <v>361.12</v>
      </c>
      <c r="H358" t="s">
        <v>22</v>
      </c>
      <c r="I358" t="s">
        <v>23</v>
      </c>
      <c r="J358" s="1">
        <v>44949</v>
      </c>
      <c r="K358" t="s">
        <v>24</v>
      </c>
      <c r="L358" s="1">
        <v>45080</v>
      </c>
      <c r="M358" t="s">
        <v>82</v>
      </c>
      <c r="N358">
        <v>13</v>
      </c>
      <c r="O358">
        <v>1</v>
      </c>
      <c r="P358">
        <v>38</v>
      </c>
      <c r="Q358" t="s">
        <v>26</v>
      </c>
      <c r="R358">
        <f>IF(subscriptions[[#This Row],[churned]]="Yes",1,0)</f>
        <v>1</v>
      </c>
      <c r="S358">
        <f ca="1">IF(subscriptions[[#This Row],[churn_flag]]=1, DATEDIF(subscriptions[[#This Row],[signup_date]],subscriptions[[#This Row],[churn_date]],"M"), DATEDIF(subscriptions[[#This Row],[signup_date]],TODAY(),"M"))</f>
        <v>4</v>
      </c>
      <c r="T358">
        <f ca="1">subscriptions[[#This Row],[monthly_revenue]]*subscriptions[[#This Row],[customer_lifetime]]</f>
        <v>1444.48</v>
      </c>
      <c r="U358" t="str">
        <f>IF(subscriptions[[#This Row],[feature_usage_pct]]&lt;30,"High Risk",IF(subscriptions[[#This Row],[feature_usage_pct]]&lt;60,"Medium Risk","Low Risk"))</f>
        <v>Medium Risk</v>
      </c>
      <c r="V358">
        <f ca="1">subscriptions[[#This Row],[CLV]]/200</f>
        <v>7.2224000000000004</v>
      </c>
    </row>
    <row r="359" spans="1:22" x14ac:dyDescent="0.25">
      <c r="A359" t="s">
        <v>412</v>
      </c>
      <c r="B359" t="s">
        <v>31</v>
      </c>
      <c r="C359" t="s">
        <v>28</v>
      </c>
      <c r="D359" t="s">
        <v>79</v>
      </c>
      <c r="E359" s="2" t="s">
        <v>21</v>
      </c>
      <c r="F359">
        <v>30</v>
      </c>
      <c r="G359">
        <v>131.88</v>
      </c>
      <c r="H359" t="s">
        <v>43</v>
      </c>
      <c r="I359" t="s">
        <v>38</v>
      </c>
      <c r="J359" s="1">
        <v>45712</v>
      </c>
      <c r="K359" t="s">
        <v>26</v>
      </c>
      <c r="N359">
        <v>1</v>
      </c>
      <c r="O359">
        <v>7</v>
      </c>
      <c r="P359">
        <v>39</v>
      </c>
      <c r="Q359" t="s">
        <v>26</v>
      </c>
      <c r="R359">
        <f>IF(subscriptions[[#This Row],[churned]]="Yes",1,0)</f>
        <v>0</v>
      </c>
      <c r="S359">
        <f ca="1">IF(subscriptions[[#This Row],[churn_flag]]=1, DATEDIF(subscriptions[[#This Row],[signup_date]],subscriptions[[#This Row],[churn_date]],"M"), DATEDIF(subscriptions[[#This Row],[signup_date]],TODAY(),"M"))</f>
        <v>14</v>
      </c>
      <c r="T359">
        <f ca="1">subscriptions[[#This Row],[monthly_revenue]]*subscriptions[[#This Row],[customer_lifetime]]</f>
        <v>1846.32</v>
      </c>
      <c r="U359" t="str">
        <f>IF(subscriptions[[#This Row],[feature_usage_pct]]&lt;30,"High Risk",IF(subscriptions[[#This Row],[feature_usage_pct]]&lt;60,"Medium Risk","Low Risk"))</f>
        <v>Medium Risk</v>
      </c>
      <c r="V359">
        <f ca="1">subscriptions[[#This Row],[CLV]]/200</f>
        <v>9.2316000000000003</v>
      </c>
    </row>
    <row r="360" spans="1:22" x14ac:dyDescent="0.25">
      <c r="A360" t="s">
        <v>413</v>
      </c>
      <c r="B360" t="s">
        <v>36</v>
      </c>
      <c r="C360" t="s">
        <v>19</v>
      </c>
      <c r="D360" t="s">
        <v>52</v>
      </c>
      <c r="E360" s="2" t="s">
        <v>45</v>
      </c>
      <c r="F360">
        <v>118</v>
      </c>
      <c r="G360">
        <v>3691.45</v>
      </c>
      <c r="H360" t="s">
        <v>29</v>
      </c>
      <c r="I360" t="s">
        <v>55</v>
      </c>
      <c r="J360" s="1">
        <v>45841</v>
      </c>
      <c r="K360" t="s">
        <v>26</v>
      </c>
      <c r="N360">
        <v>10</v>
      </c>
      <c r="O360">
        <v>5</v>
      </c>
      <c r="P360">
        <v>87</v>
      </c>
      <c r="Q360" t="s">
        <v>26</v>
      </c>
      <c r="R360">
        <f>IF(subscriptions[[#This Row],[churned]]="Yes",1,0)</f>
        <v>0</v>
      </c>
      <c r="S360">
        <f ca="1">IF(subscriptions[[#This Row],[churn_flag]]=1, DATEDIF(subscriptions[[#This Row],[signup_date]],subscriptions[[#This Row],[churn_date]],"M"), DATEDIF(subscriptions[[#This Row],[signup_date]],TODAY(),"M"))</f>
        <v>10</v>
      </c>
      <c r="T360">
        <f ca="1">subscriptions[[#This Row],[monthly_revenue]]*subscriptions[[#This Row],[customer_lifetime]]</f>
        <v>36914.5</v>
      </c>
      <c r="U360" t="str">
        <f>IF(subscriptions[[#This Row],[feature_usage_pct]]&lt;30,"High Risk",IF(subscriptions[[#This Row],[feature_usage_pct]]&lt;60,"Medium Risk","Low Risk"))</f>
        <v>Low Risk</v>
      </c>
      <c r="V360">
        <f ca="1">subscriptions[[#This Row],[CLV]]/200</f>
        <v>184.57249999999999</v>
      </c>
    </row>
    <row r="361" spans="1:22" x14ac:dyDescent="0.25">
      <c r="A361" t="s">
        <v>414</v>
      </c>
      <c r="B361" t="s">
        <v>31</v>
      </c>
      <c r="C361" t="s">
        <v>28</v>
      </c>
      <c r="D361" t="s">
        <v>79</v>
      </c>
      <c r="E361" s="2" t="s">
        <v>664</v>
      </c>
      <c r="F361">
        <v>2</v>
      </c>
      <c r="G361">
        <v>28.35</v>
      </c>
      <c r="H361" t="s">
        <v>98</v>
      </c>
      <c r="I361" t="s">
        <v>38</v>
      </c>
      <c r="J361" s="1">
        <v>44780</v>
      </c>
      <c r="K361" t="s">
        <v>26</v>
      </c>
      <c r="N361">
        <v>11</v>
      </c>
      <c r="O361">
        <v>6</v>
      </c>
      <c r="P361">
        <v>20</v>
      </c>
      <c r="Q361" t="s">
        <v>26</v>
      </c>
      <c r="R361">
        <f>IF(subscriptions[[#This Row],[churned]]="Yes",1,0)</f>
        <v>0</v>
      </c>
      <c r="S361">
        <f ca="1">IF(subscriptions[[#This Row],[churn_flag]]=1, DATEDIF(subscriptions[[#This Row],[signup_date]],subscriptions[[#This Row],[churn_date]],"M"), DATEDIF(subscriptions[[#This Row],[signup_date]],TODAY(),"M"))</f>
        <v>45</v>
      </c>
      <c r="T361">
        <f ca="1">subscriptions[[#This Row],[monthly_revenue]]*subscriptions[[#This Row],[customer_lifetime]]</f>
        <v>1275.75</v>
      </c>
      <c r="U361" t="str">
        <f>IF(subscriptions[[#This Row],[feature_usage_pct]]&lt;30,"High Risk",IF(subscriptions[[#This Row],[feature_usage_pct]]&lt;60,"Medium Risk","Low Risk"))</f>
        <v>High Risk</v>
      </c>
      <c r="V361">
        <f ca="1">subscriptions[[#This Row],[CLV]]/200</f>
        <v>6.3787500000000001</v>
      </c>
    </row>
    <row r="362" spans="1:22" x14ac:dyDescent="0.25">
      <c r="A362" t="s">
        <v>415</v>
      </c>
      <c r="B362" t="s">
        <v>18</v>
      </c>
      <c r="C362" t="s">
        <v>28</v>
      </c>
      <c r="D362" t="s">
        <v>20</v>
      </c>
      <c r="E362" s="2" t="s">
        <v>664</v>
      </c>
      <c r="F362">
        <v>7</v>
      </c>
      <c r="G362">
        <v>127.59</v>
      </c>
      <c r="H362" t="s">
        <v>60</v>
      </c>
      <c r="I362" t="s">
        <v>38</v>
      </c>
      <c r="J362" s="1">
        <v>45451</v>
      </c>
      <c r="K362" t="s">
        <v>26</v>
      </c>
      <c r="N362">
        <v>12</v>
      </c>
      <c r="O362">
        <v>7</v>
      </c>
      <c r="P362">
        <v>31</v>
      </c>
      <c r="Q362" t="s">
        <v>26</v>
      </c>
      <c r="R362">
        <f>IF(subscriptions[[#This Row],[churned]]="Yes",1,0)</f>
        <v>0</v>
      </c>
      <c r="S362">
        <f ca="1">IF(subscriptions[[#This Row],[churn_flag]]=1, DATEDIF(subscriptions[[#This Row],[signup_date]],subscriptions[[#This Row],[churn_date]],"M"), DATEDIF(subscriptions[[#This Row],[signup_date]],TODAY(),"M"))</f>
        <v>23</v>
      </c>
      <c r="T362">
        <f ca="1">subscriptions[[#This Row],[monthly_revenue]]*subscriptions[[#This Row],[customer_lifetime]]</f>
        <v>2934.57</v>
      </c>
      <c r="U362" t="str">
        <f>IF(subscriptions[[#This Row],[feature_usage_pct]]&lt;30,"High Risk",IF(subscriptions[[#This Row],[feature_usage_pct]]&lt;60,"Medium Risk","Low Risk"))</f>
        <v>Medium Risk</v>
      </c>
      <c r="V362">
        <f ca="1">subscriptions[[#This Row],[CLV]]/200</f>
        <v>14.67285</v>
      </c>
    </row>
    <row r="363" spans="1:22" x14ac:dyDescent="0.25">
      <c r="A363" t="s">
        <v>416</v>
      </c>
      <c r="B363" t="s">
        <v>71</v>
      </c>
      <c r="C363" t="s">
        <v>19</v>
      </c>
      <c r="D363" t="s">
        <v>52</v>
      </c>
      <c r="E363" s="2" t="s">
        <v>21</v>
      </c>
      <c r="F363">
        <v>59</v>
      </c>
      <c r="G363">
        <v>4840.3</v>
      </c>
      <c r="H363" t="s">
        <v>22</v>
      </c>
      <c r="I363" t="s">
        <v>23</v>
      </c>
      <c r="J363" s="1">
        <v>45190</v>
      </c>
      <c r="K363" t="s">
        <v>26</v>
      </c>
      <c r="N363">
        <v>0</v>
      </c>
      <c r="O363">
        <v>3</v>
      </c>
      <c r="P363">
        <v>90</v>
      </c>
      <c r="Q363" t="s">
        <v>26</v>
      </c>
      <c r="R363">
        <f>IF(subscriptions[[#This Row],[churned]]="Yes",1,0)</f>
        <v>0</v>
      </c>
      <c r="S363">
        <f ca="1">IF(subscriptions[[#This Row],[churn_flag]]=1, DATEDIF(subscriptions[[#This Row],[signup_date]],subscriptions[[#This Row],[churn_date]],"M"), DATEDIF(subscriptions[[#This Row],[signup_date]],TODAY(),"M"))</f>
        <v>31</v>
      </c>
      <c r="T363">
        <f ca="1">subscriptions[[#This Row],[monthly_revenue]]*subscriptions[[#This Row],[customer_lifetime]]</f>
        <v>150049.30000000002</v>
      </c>
      <c r="U363" t="str">
        <f>IF(subscriptions[[#This Row],[feature_usage_pct]]&lt;30,"High Risk",IF(subscriptions[[#This Row],[feature_usage_pct]]&lt;60,"Medium Risk","Low Risk"))</f>
        <v>Low Risk</v>
      </c>
      <c r="V363">
        <f ca="1">subscriptions[[#This Row],[CLV]]/200</f>
        <v>750.24650000000008</v>
      </c>
    </row>
    <row r="364" spans="1:22" x14ac:dyDescent="0.25">
      <c r="A364" t="s">
        <v>417</v>
      </c>
      <c r="B364" t="s">
        <v>71</v>
      </c>
      <c r="C364" t="s">
        <v>19</v>
      </c>
      <c r="D364" t="s">
        <v>42</v>
      </c>
      <c r="E364" s="2" t="s">
        <v>664</v>
      </c>
      <c r="F364">
        <v>7</v>
      </c>
      <c r="G364">
        <v>948.1</v>
      </c>
      <c r="H364" t="s">
        <v>98</v>
      </c>
      <c r="I364" t="s">
        <v>23</v>
      </c>
      <c r="J364" s="1">
        <v>45357</v>
      </c>
      <c r="K364" t="s">
        <v>26</v>
      </c>
      <c r="N364">
        <v>2</v>
      </c>
      <c r="O364">
        <v>6</v>
      </c>
      <c r="P364">
        <v>41</v>
      </c>
      <c r="Q364" t="s">
        <v>26</v>
      </c>
      <c r="R364">
        <f>IF(subscriptions[[#This Row],[churned]]="Yes",1,0)</f>
        <v>0</v>
      </c>
      <c r="S364">
        <f ca="1">IF(subscriptions[[#This Row],[churn_flag]]=1, DATEDIF(subscriptions[[#This Row],[signup_date]],subscriptions[[#This Row],[churn_date]],"M"), DATEDIF(subscriptions[[#This Row],[signup_date]],TODAY(),"M"))</f>
        <v>26</v>
      </c>
      <c r="T364">
        <f ca="1">subscriptions[[#This Row],[monthly_revenue]]*subscriptions[[#This Row],[customer_lifetime]]</f>
        <v>24650.600000000002</v>
      </c>
      <c r="U364" t="str">
        <f>IF(subscriptions[[#This Row],[feature_usage_pct]]&lt;30,"High Risk",IF(subscriptions[[#This Row],[feature_usage_pct]]&lt;60,"Medium Risk","Low Risk"))</f>
        <v>Medium Risk</v>
      </c>
      <c r="V364">
        <f ca="1">subscriptions[[#This Row],[CLV]]/200</f>
        <v>123.25300000000001</v>
      </c>
    </row>
    <row r="365" spans="1:22" x14ac:dyDescent="0.25">
      <c r="A365" t="s">
        <v>418</v>
      </c>
      <c r="B365" t="s">
        <v>36</v>
      </c>
      <c r="C365" t="s">
        <v>19</v>
      </c>
      <c r="D365" t="s">
        <v>68</v>
      </c>
      <c r="E365" s="2" t="s">
        <v>663</v>
      </c>
      <c r="F365">
        <v>17</v>
      </c>
      <c r="G365">
        <v>676.6</v>
      </c>
      <c r="H365" t="s">
        <v>34</v>
      </c>
      <c r="I365" t="s">
        <v>23</v>
      </c>
      <c r="J365" s="1">
        <v>44656</v>
      </c>
      <c r="K365" t="s">
        <v>24</v>
      </c>
      <c r="L365" s="1">
        <v>45920</v>
      </c>
      <c r="M365" t="s">
        <v>25</v>
      </c>
      <c r="N365">
        <v>7</v>
      </c>
      <c r="O365">
        <v>4</v>
      </c>
      <c r="P365">
        <v>13</v>
      </c>
      <c r="Q365" t="s">
        <v>26</v>
      </c>
      <c r="R365">
        <f>IF(subscriptions[[#This Row],[churned]]="Yes",1,0)</f>
        <v>1</v>
      </c>
      <c r="S365">
        <f ca="1">IF(subscriptions[[#This Row],[churn_flag]]=1, DATEDIF(subscriptions[[#This Row],[signup_date]],subscriptions[[#This Row],[churn_date]],"M"), DATEDIF(subscriptions[[#This Row],[signup_date]],TODAY(),"M"))</f>
        <v>41</v>
      </c>
      <c r="T365">
        <f ca="1">subscriptions[[#This Row],[monthly_revenue]]*subscriptions[[#This Row],[customer_lifetime]]</f>
        <v>27740.600000000002</v>
      </c>
      <c r="U365" t="str">
        <f>IF(subscriptions[[#This Row],[feature_usage_pct]]&lt;30,"High Risk",IF(subscriptions[[#This Row],[feature_usage_pct]]&lt;60,"Medium Risk","Low Risk"))</f>
        <v>High Risk</v>
      </c>
      <c r="V365">
        <f ca="1">subscriptions[[#This Row],[CLV]]/200</f>
        <v>138.703</v>
      </c>
    </row>
    <row r="366" spans="1:22" x14ac:dyDescent="0.25">
      <c r="A366" t="s">
        <v>419</v>
      </c>
      <c r="B366" t="s">
        <v>31</v>
      </c>
      <c r="C366" t="s">
        <v>19</v>
      </c>
      <c r="D366" t="s">
        <v>79</v>
      </c>
      <c r="E366" s="2" t="s">
        <v>663</v>
      </c>
      <c r="F366">
        <v>14</v>
      </c>
      <c r="G366">
        <v>85.55</v>
      </c>
      <c r="H366" t="s">
        <v>34</v>
      </c>
      <c r="I366" t="s">
        <v>69</v>
      </c>
      <c r="J366" s="1">
        <v>45362</v>
      </c>
      <c r="K366" t="s">
        <v>24</v>
      </c>
      <c r="L366" s="1">
        <v>45450</v>
      </c>
      <c r="M366" t="s">
        <v>50</v>
      </c>
      <c r="N366">
        <v>9</v>
      </c>
      <c r="O366">
        <v>2</v>
      </c>
      <c r="P366">
        <v>14</v>
      </c>
      <c r="Q366" t="s">
        <v>26</v>
      </c>
      <c r="R366">
        <f>IF(subscriptions[[#This Row],[churned]]="Yes",1,0)</f>
        <v>1</v>
      </c>
      <c r="S366">
        <f ca="1">IF(subscriptions[[#This Row],[churn_flag]]=1, DATEDIF(subscriptions[[#This Row],[signup_date]],subscriptions[[#This Row],[churn_date]],"M"), DATEDIF(subscriptions[[#This Row],[signup_date]],TODAY(),"M"))</f>
        <v>2</v>
      </c>
      <c r="T366">
        <f ca="1">subscriptions[[#This Row],[monthly_revenue]]*subscriptions[[#This Row],[customer_lifetime]]</f>
        <v>171.1</v>
      </c>
      <c r="U366" t="str">
        <f>IF(subscriptions[[#This Row],[feature_usage_pct]]&lt;30,"High Risk",IF(subscriptions[[#This Row],[feature_usage_pct]]&lt;60,"Medium Risk","Low Risk"))</f>
        <v>High Risk</v>
      </c>
      <c r="V366">
        <f ca="1">subscriptions[[#This Row],[CLV]]/200</f>
        <v>0.85549999999999993</v>
      </c>
    </row>
    <row r="367" spans="1:22" x14ac:dyDescent="0.25">
      <c r="A367" t="s">
        <v>420</v>
      </c>
      <c r="B367" t="s">
        <v>18</v>
      </c>
      <c r="C367" t="s">
        <v>19</v>
      </c>
      <c r="D367" t="s">
        <v>62</v>
      </c>
      <c r="E367" s="2" t="s">
        <v>21</v>
      </c>
      <c r="F367">
        <v>52</v>
      </c>
      <c r="G367">
        <v>683.35</v>
      </c>
      <c r="H367" t="s">
        <v>60</v>
      </c>
      <c r="I367" t="s">
        <v>23</v>
      </c>
      <c r="J367" s="1">
        <v>45928</v>
      </c>
      <c r="K367" t="s">
        <v>26</v>
      </c>
      <c r="N367">
        <v>11</v>
      </c>
      <c r="O367">
        <v>8</v>
      </c>
      <c r="P367">
        <v>17</v>
      </c>
      <c r="Q367" t="s">
        <v>26</v>
      </c>
      <c r="R367">
        <f>IF(subscriptions[[#This Row],[churned]]="Yes",1,0)</f>
        <v>0</v>
      </c>
      <c r="S367">
        <f ca="1">IF(subscriptions[[#This Row],[churn_flag]]=1, DATEDIF(subscriptions[[#This Row],[signup_date]],subscriptions[[#This Row],[churn_date]],"M"), DATEDIF(subscriptions[[#This Row],[signup_date]],TODAY(),"M"))</f>
        <v>7</v>
      </c>
      <c r="T367">
        <f ca="1">subscriptions[[#This Row],[monthly_revenue]]*subscriptions[[#This Row],[customer_lifetime]]</f>
        <v>4783.45</v>
      </c>
      <c r="U367" t="str">
        <f>IF(subscriptions[[#This Row],[feature_usage_pct]]&lt;30,"High Risk",IF(subscriptions[[#This Row],[feature_usage_pct]]&lt;60,"Medium Risk","Low Risk"))</f>
        <v>High Risk</v>
      </c>
      <c r="V367">
        <f ca="1">subscriptions[[#This Row],[CLV]]/200</f>
        <v>23.917249999999999</v>
      </c>
    </row>
    <row r="368" spans="1:22" x14ac:dyDescent="0.25">
      <c r="A368" t="s">
        <v>421</v>
      </c>
      <c r="B368" t="s">
        <v>31</v>
      </c>
      <c r="C368" t="s">
        <v>28</v>
      </c>
      <c r="D368" t="s">
        <v>79</v>
      </c>
      <c r="E368" s="2" t="s">
        <v>664</v>
      </c>
      <c r="F368">
        <v>5</v>
      </c>
      <c r="G368">
        <v>39.44</v>
      </c>
      <c r="H368" t="s">
        <v>43</v>
      </c>
      <c r="I368" t="s">
        <v>23</v>
      </c>
      <c r="J368" s="1">
        <v>45136</v>
      </c>
      <c r="K368" t="s">
        <v>26</v>
      </c>
      <c r="N368">
        <v>1</v>
      </c>
      <c r="O368">
        <v>3</v>
      </c>
      <c r="P368">
        <v>80</v>
      </c>
      <c r="Q368" t="s">
        <v>26</v>
      </c>
      <c r="R368">
        <f>IF(subscriptions[[#This Row],[churned]]="Yes",1,0)</f>
        <v>0</v>
      </c>
      <c r="S368">
        <f ca="1">IF(subscriptions[[#This Row],[churn_flag]]=1, DATEDIF(subscriptions[[#This Row],[signup_date]],subscriptions[[#This Row],[churn_date]],"M"), DATEDIF(subscriptions[[#This Row],[signup_date]],TODAY(),"M"))</f>
        <v>33</v>
      </c>
      <c r="T368">
        <f ca="1">subscriptions[[#This Row],[monthly_revenue]]*subscriptions[[#This Row],[customer_lifetime]]</f>
        <v>1301.52</v>
      </c>
      <c r="U368" t="str">
        <f>IF(subscriptions[[#This Row],[feature_usage_pct]]&lt;30,"High Risk",IF(subscriptions[[#This Row],[feature_usage_pct]]&lt;60,"Medium Risk","Low Risk"))</f>
        <v>Low Risk</v>
      </c>
      <c r="V368">
        <f ca="1">subscriptions[[#This Row],[CLV]]/200</f>
        <v>6.5076000000000001</v>
      </c>
    </row>
    <row r="369" spans="1:22" x14ac:dyDescent="0.25">
      <c r="A369" t="s">
        <v>422</v>
      </c>
      <c r="B369" t="s">
        <v>18</v>
      </c>
      <c r="C369" t="s">
        <v>28</v>
      </c>
      <c r="D369" t="s">
        <v>49</v>
      </c>
      <c r="E369" s="2" t="s">
        <v>663</v>
      </c>
      <c r="F369">
        <v>25</v>
      </c>
      <c r="G369">
        <v>308.89</v>
      </c>
      <c r="H369" t="s">
        <v>34</v>
      </c>
      <c r="I369" t="s">
        <v>23</v>
      </c>
      <c r="J369" s="1">
        <v>45429</v>
      </c>
      <c r="K369" t="s">
        <v>26</v>
      </c>
      <c r="N369">
        <v>3</v>
      </c>
      <c r="O369">
        <v>6</v>
      </c>
      <c r="P369">
        <v>92</v>
      </c>
      <c r="Q369" t="s">
        <v>26</v>
      </c>
      <c r="R369">
        <f>IF(subscriptions[[#This Row],[churned]]="Yes",1,0)</f>
        <v>0</v>
      </c>
      <c r="S369">
        <f ca="1">IF(subscriptions[[#This Row],[churn_flag]]=1, DATEDIF(subscriptions[[#This Row],[signup_date]],subscriptions[[#This Row],[churn_date]],"M"), DATEDIF(subscriptions[[#This Row],[signup_date]],TODAY(),"M"))</f>
        <v>23</v>
      </c>
      <c r="T369">
        <f ca="1">subscriptions[[#This Row],[monthly_revenue]]*subscriptions[[#This Row],[customer_lifetime]]</f>
        <v>7104.4699999999993</v>
      </c>
      <c r="U369" t="str">
        <f>IF(subscriptions[[#This Row],[feature_usage_pct]]&lt;30,"High Risk",IF(subscriptions[[#This Row],[feature_usage_pct]]&lt;60,"Medium Risk","Low Risk"))</f>
        <v>Low Risk</v>
      </c>
      <c r="V369">
        <f ca="1">subscriptions[[#This Row],[CLV]]/200</f>
        <v>35.522349999999996</v>
      </c>
    </row>
    <row r="370" spans="1:22" x14ac:dyDescent="0.25">
      <c r="A370" t="s">
        <v>423</v>
      </c>
      <c r="B370" t="s">
        <v>71</v>
      </c>
      <c r="C370" t="s">
        <v>19</v>
      </c>
      <c r="D370" t="s">
        <v>20</v>
      </c>
      <c r="E370" s="2" t="s">
        <v>663</v>
      </c>
      <c r="F370">
        <v>25</v>
      </c>
      <c r="G370">
        <v>2295.4</v>
      </c>
      <c r="H370" t="s">
        <v>29</v>
      </c>
      <c r="I370" t="s">
        <v>23</v>
      </c>
      <c r="J370" s="1">
        <v>45725</v>
      </c>
      <c r="K370" t="s">
        <v>24</v>
      </c>
      <c r="L370" s="1">
        <v>45775</v>
      </c>
      <c r="M370" t="s">
        <v>50</v>
      </c>
      <c r="N370">
        <v>9</v>
      </c>
      <c r="O370">
        <v>6</v>
      </c>
      <c r="P370">
        <v>37</v>
      </c>
      <c r="Q370" t="s">
        <v>26</v>
      </c>
      <c r="R370">
        <f>IF(subscriptions[[#This Row],[churned]]="Yes",1,0)</f>
        <v>1</v>
      </c>
      <c r="S370">
        <f ca="1">IF(subscriptions[[#This Row],[churn_flag]]=1, DATEDIF(subscriptions[[#This Row],[signup_date]],subscriptions[[#This Row],[churn_date]],"M"), DATEDIF(subscriptions[[#This Row],[signup_date]],TODAY(),"M"))</f>
        <v>1</v>
      </c>
      <c r="T370">
        <f ca="1">subscriptions[[#This Row],[monthly_revenue]]*subscriptions[[#This Row],[customer_lifetime]]</f>
        <v>2295.4</v>
      </c>
      <c r="U370" t="str">
        <f>IF(subscriptions[[#This Row],[feature_usage_pct]]&lt;30,"High Risk",IF(subscriptions[[#This Row],[feature_usage_pct]]&lt;60,"Medium Risk","Low Risk"))</f>
        <v>Medium Risk</v>
      </c>
      <c r="V370">
        <f ca="1">subscriptions[[#This Row],[CLV]]/200</f>
        <v>11.477</v>
      </c>
    </row>
    <row r="371" spans="1:22" x14ac:dyDescent="0.25">
      <c r="A371" t="s">
        <v>424</v>
      </c>
      <c r="B371" t="s">
        <v>31</v>
      </c>
      <c r="C371" t="s">
        <v>19</v>
      </c>
      <c r="D371" t="s">
        <v>37</v>
      </c>
      <c r="E371" s="2" t="s">
        <v>45</v>
      </c>
      <c r="F371">
        <v>117</v>
      </c>
      <c r="G371">
        <v>533.6</v>
      </c>
      <c r="H371" t="s">
        <v>22</v>
      </c>
      <c r="I371" t="s">
        <v>23</v>
      </c>
      <c r="J371" s="1">
        <v>45492</v>
      </c>
      <c r="K371" t="s">
        <v>24</v>
      </c>
      <c r="L371" s="1">
        <v>45775</v>
      </c>
      <c r="M371" t="s">
        <v>25</v>
      </c>
      <c r="N371">
        <v>8</v>
      </c>
      <c r="O371">
        <v>6</v>
      </c>
      <c r="P371">
        <v>10</v>
      </c>
      <c r="Q371" t="s">
        <v>26</v>
      </c>
      <c r="R371">
        <f>IF(subscriptions[[#This Row],[churned]]="Yes",1,0)</f>
        <v>1</v>
      </c>
      <c r="S371">
        <f ca="1">IF(subscriptions[[#This Row],[churn_flag]]=1, DATEDIF(subscriptions[[#This Row],[signup_date]],subscriptions[[#This Row],[churn_date]],"M"), DATEDIF(subscriptions[[#This Row],[signup_date]],TODAY(),"M"))</f>
        <v>9</v>
      </c>
      <c r="T371">
        <f ca="1">subscriptions[[#This Row],[monthly_revenue]]*subscriptions[[#This Row],[customer_lifetime]]</f>
        <v>4802.4000000000005</v>
      </c>
      <c r="U371" t="str">
        <f>IF(subscriptions[[#This Row],[feature_usage_pct]]&lt;30,"High Risk",IF(subscriptions[[#This Row],[feature_usage_pct]]&lt;60,"Medium Risk","Low Risk"))</f>
        <v>High Risk</v>
      </c>
      <c r="V371">
        <f ca="1">subscriptions[[#This Row],[CLV]]/200</f>
        <v>24.012000000000004</v>
      </c>
    </row>
    <row r="372" spans="1:22" x14ac:dyDescent="0.25">
      <c r="A372" t="s">
        <v>425</v>
      </c>
      <c r="B372" t="s">
        <v>31</v>
      </c>
      <c r="C372" t="s">
        <v>19</v>
      </c>
      <c r="D372" t="s">
        <v>79</v>
      </c>
      <c r="E372" s="2" t="s">
        <v>21</v>
      </c>
      <c r="F372">
        <v>39</v>
      </c>
      <c r="G372">
        <v>194.3</v>
      </c>
      <c r="H372" t="s">
        <v>43</v>
      </c>
      <c r="I372" t="s">
        <v>69</v>
      </c>
      <c r="J372" s="1">
        <v>45352</v>
      </c>
      <c r="K372" t="s">
        <v>24</v>
      </c>
      <c r="L372" s="1">
        <v>45399</v>
      </c>
      <c r="M372" t="s">
        <v>25</v>
      </c>
      <c r="N372">
        <v>13</v>
      </c>
      <c r="O372">
        <v>1</v>
      </c>
      <c r="P372">
        <v>22</v>
      </c>
      <c r="Q372" t="s">
        <v>26</v>
      </c>
      <c r="R372">
        <f>IF(subscriptions[[#This Row],[churned]]="Yes",1,0)</f>
        <v>1</v>
      </c>
      <c r="S372">
        <f ca="1">IF(subscriptions[[#This Row],[churn_flag]]=1, DATEDIF(subscriptions[[#This Row],[signup_date]],subscriptions[[#This Row],[churn_date]],"M"), DATEDIF(subscriptions[[#This Row],[signup_date]],TODAY(),"M"))</f>
        <v>1</v>
      </c>
      <c r="T372">
        <f ca="1">subscriptions[[#This Row],[monthly_revenue]]*subscriptions[[#This Row],[customer_lifetime]]</f>
        <v>194.3</v>
      </c>
      <c r="U372" t="str">
        <f>IF(subscriptions[[#This Row],[feature_usage_pct]]&lt;30,"High Risk",IF(subscriptions[[#This Row],[feature_usage_pct]]&lt;60,"Medium Risk","Low Risk"))</f>
        <v>High Risk</v>
      </c>
      <c r="V372">
        <f ca="1">subscriptions[[#This Row],[CLV]]/200</f>
        <v>0.97150000000000003</v>
      </c>
    </row>
    <row r="373" spans="1:22" x14ac:dyDescent="0.25">
      <c r="A373" t="s">
        <v>426</v>
      </c>
      <c r="B373" t="s">
        <v>36</v>
      </c>
      <c r="C373" t="s">
        <v>19</v>
      </c>
      <c r="D373" t="s">
        <v>68</v>
      </c>
      <c r="E373" s="2" t="s">
        <v>663</v>
      </c>
      <c r="F373">
        <v>29</v>
      </c>
      <c r="G373">
        <v>1034.8</v>
      </c>
      <c r="H373" t="s">
        <v>60</v>
      </c>
      <c r="I373" t="s">
        <v>55</v>
      </c>
      <c r="J373" s="1">
        <v>44967</v>
      </c>
      <c r="K373" t="s">
        <v>24</v>
      </c>
      <c r="L373" s="1">
        <v>45944</v>
      </c>
      <c r="M373" t="s">
        <v>56</v>
      </c>
      <c r="N373">
        <v>12</v>
      </c>
      <c r="O373">
        <v>1</v>
      </c>
      <c r="P373">
        <v>34</v>
      </c>
      <c r="Q373" t="s">
        <v>26</v>
      </c>
      <c r="R373">
        <f>IF(subscriptions[[#This Row],[churned]]="Yes",1,0)</f>
        <v>1</v>
      </c>
      <c r="S373">
        <f ca="1">IF(subscriptions[[#This Row],[churn_flag]]=1, DATEDIF(subscriptions[[#This Row],[signup_date]],subscriptions[[#This Row],[churn_date]],"M"), DATEDIF(subscriptions[[#This Row],[signup_date]],TODAY(),"M"))</f>
        <v>32</v>
      </c>
      <c r="T373">
        <f ca="1">subscriptions[[#This Row],[monthly_revenue]]*subscriptions[[#This Row],[customer_lifetime]]</f>
        <v>33113.599999999999</v>
      </c>
      <c r="U373" t="str">
        <f>IF(subscriptions[[#This Row],[feature_usage_pct]]&lt;30,"High Risk",IF(subscriptions[[#This Row],[feature_usage_pct]]&lt;60,"Medium Risk","Low Risk"))</f>
        <v>Medium Risk</v>
      </c>
      <c r="V373">
        <f ca="1">subscriptions[[#This Row],[CLV]]/200</f>
        <v>165.56799999999998</v>
      </c>
    </row>
    <row r="374" spans="1:22" x14ac:dyDescent="0.25">
      <c r="A374" t="s">
        <v>427</v>
      </c>
      <c r="B374" t="s">
        <v>36</v>
      </c>
      <c r="C374" t="s">
        <v>19</v>
      </c>
      <c r="D374" t="s">
        <v>32</v>
      </c>
      <c r="E374" s="2" t="s">
        <v>664</v>
      </c>
      <c r="F374">
        <v>4</v>
      </c>
      <c r="G374">
        <v>288.55</v>
      </c>
      <c r="H374" t="s">
        <v>34</v>
      </c>
      <c r="I374" t="s">
        <v>38</v>
      </c>
      <c r="J374" s="1">
        <v>45959</v>
      </c>
      <c r="K374" t="s">
        <v>26</v>
      </c>
      <c r="N374">
        <v>6</v>
      </c>
      <c r="O374">
        <v>2</v>
      </c>
      <c r="P374">
        <v>63</v>
      </c>
      <c r="Q374" t="s">
        <v>26</v>
      </c>
      <c r="R374">
        <f>IF(subscriptions[[#This Row],[churned]]="Yes",1,0)</f>
        <v>0</v>
      </c>
      <c r="S374">
        <f ca="1">IF(subscriptions[[#This Row],[churn_flag]]=1, DATEDIF(subscriptions[[#This Row],[signup_date]],subscriptions[[#This Row],[churn_date]],"M"), DATEDIF(subscriptions[[#This Row],[signup_date]],TODAY(),"M"))</f>
        <v>6</v>
      </c>
      <c r="T374">
        <f ca="1">subscriptions[[#This Row],[monthly_revenue]]*subscriptions[[#This Row],[customer_lifetime]]</f>
        <v>1731.3000000000002</v>
      </c>
      <c r="U374" t="str">
        <f>IF(subscriptions[[#This Row],[feature_usage_pct]]&lt;30,"High Risk",IF(subscriptions[[#This Row],[feature_usage_pct]]&lt;60,"Medium Risk","Low Risk"))</f>
        <v>Low Risk</v>
      </c>
      <c r="V374">
        <f ca="1">subscriptions[[#This Row],[CLV]]/200</f>
        <v>8.6565000000000012</v>
      </c>
    </row>
    <row r="375" spans="1:22" x14ac:dyDescent="0.25">
      <c r="A375" t="s">
        <v>428</v>
      </c>
      <c r="B375" t="s">
        <v>31</v>
      </c>
      <c r="C375" t="s">
        <v>19</v>
      </c>
      <c r="D375" t="s">
        <v>37</v>
      </c>
      <c r="E375" s="2" t="s">
        <v>45</v>
      </c>
      <c r="F375">
        <v>139</v>
      </c>
      <c r="G375">
        <v>629.29999999999995</v>
      </c>
      <c r="H375" t="s">
        <v>60</v>
      </c>
      <c r="I375" t="s">
        <v>55</v>
      </c>
      <c r="J375" s="1">
        <v>44569</v>
      </c>
      <c r="K375" t="s">
        <v>24</v>
      </c>
      <c r="L375" s="1">
        <v>44659</v>
      </c>
      <c r="M375" t="s">
        <v>82</v>
      </c>
      <c r="N375">
        <v>10</v>
      </c>
      <c r="O375">
        <v>6</v>
      </c>
      <c r="P375">
        <v>20</v>
      </c>
      <c r="Q375" t="s">
        <v>26</v>
      </c>
      <c r="R375">
        <f>IF(subscriptions[[#This Row],[churned]]="Yes",1,0)</f>
        <v>1</v>
      </c>
      <c r="S375">
        <f ca="1">IF(subscriptions[[#This Row],[churn_flag]]=1, DATEDIF(subscriptions[[#This Row],[signup_date]],subscriptions[[#This Row],[churn_date]],"M"), DATEDIF(subscriptions[[#This Row],[signup_date]],TODAY(),"M"))</f>
        <v>3</v>
      </c>
      <c r="T375">
        <f ca="1">subscriptions[[#This Row],[monthly_revenue]]*subscriptions[[#This Row],[customer_lifetime]]</f>
        <v>1887.8999999999999</v>
      </c>
      <c r="U375" t="str">
        <f>IF(subscriptions[[#This Row],[feature_usage_pct]]&lt;30,"High Risk",IF(subscriptions[[#This Row],[feature_usage_pct]]&lt;60,"Medium Risk","Low Risk"))</f>
        <v>High Risk</v>
      </c>
      <c r="V375">
        <f ca="1">subscriptions[[#This Row],[CLV]]/200</f>
        <v>9.4394999999999989</v>
      </c>
    </row>
    <row r="376" spans="1:22" x14ac:dyDescent="0.25">
      <c r="A376" t="s">
        <v>429</v>
      </c>
      <c r="B376" t="s">
        <v>31</v>
      </c>
      <c r="C376" t="s">
        <v>28</v>
      </c>
      <c r="D376" t="s">
        <v>68</v>
      </c>
      <c r="E376" s="2" t="s">
        <v>663</v>
      </c>
      <c r="F376">
        <v>16</v>
      </c>
      <c r="G376">
        <v>80.11</v>
      </c>
      <c r="H376" t="s">
        <v>22</v>
      </c>
      <c r="I376" t="s">
        <v>38</v>
      </c>
      <c r="J376" s="1">
        <v>44693</v>
      </c>
      <c r="K376" t="s">
        <v>24</v>
      </c>
      <c r="L376" s="1">
        <v>44931</v>
      </c>
      <c r="M376" t="s">
        <v>82</v>
      </c>
      <c r="N376">
        <v>7</v>
      </c>
      <c r="O376">
        <v>5</v>
      </c>
      <c r="P376">
        <v>18</v>
      </c>
      <c r="Q376" t="s">
        <v>26</v>
      </c>
      <c r="R376">
        <f>IF(subscriptions[[#This Row],[churned]]="Yes",1,0)</f>
        <v>1</v>
      </c>
      <c r="S376">
        <f ca="1">IF(subscriptions[[#This Row],[churn_flag]]=1, DATEDIF(subscriptions[[#This Row],[signup_date]],subscriptions[[#This Row],[churn_date]],"M"), DATEDIF(subscriptions[[#This Row],[signup_date]],TODAY(),"M"))</f>
        <v>7</v>
      </c>
      <c r="T376">
        <f ca="1">subscriptions[[#This Row],[monthly_revenue]]*subscriptions[[#This Row],[customer_lifetime]]</f>
        <v>560.77</v>
      </c>
      <c r="U376" t="str">
        <f>IF(subscriptions[[#This Row],[feature_usage_pct]]&lt;30,"High Risk",IF(subscriptions[[#This Row],[feature_usage_pct]]&lt;60,"Medium Risk","Low Risk"))</f>
        <v>High Risk</v>
      </c>
      <c r="V376">
        <f ca="1">subscriptions[[#This Row],[CLV]]/200</f>
        <v>2.8038499999999997</v>
      </c>
    </row>
    <row r="377" spans="1:22" x14ac:dyDescent="0.25">
      <c r="A377" t="s">
        <v>430</v>
      </c>
      <c r="B377" t="s">
        <v>71</v>
      </c>
      <c r="C377" t="s">
        <v>28</v>
      </c>
      <c r="D377" t="s">
        <v>52</v>
      </c>
      <c r="E377" s="2" t="s">
        <v>21</v>
      </c>
      <c r="F377">
        <v>46</v>
      </c>
      <c r="G377">
        <v>3287.16</v>
      </c>
      <c r="H377" t="s">
        <v>34</v>
      </c>
      <c r="I377" t="s">
        <v>23</v>
      </c>
      <c r="J377" s="1">
        <v>44994</v>
      </c>
      <c r="K377" t="s">
        <v>24</v>
      </c>
      <c r="L377" s="1">
        <v>45459</v>
      </c>
      <c r="M377" t="s">
        <v>63</v>
      </c>
      <c r="N377">
        <v>12</v>
      </c>
      <c r="O377">
        <v>5</v>
      </c>
      <c r="P377">
        <v>27</v>
      </c>
      <c r="Q377" t="s">
        <v>26</v>
      </c>
      <c r="R377">
        <f>IF(subscriptions[[#This Row],[churned]]="Yes",1,0)</f>
        <v>1</v>
      </c>
      <c r="S377">
        <f ca="1">IF(subscriptions[[#This Row],[churn_flag]]=1, DATEDIF(subscriptions[[#This Row],[signup_date]],subscriptions[[#This Row],[churn_date]],"M"), DATEDIF(subscriptions[[#This Row],[signup_date]],TODAY(),"M"))</f>
        <v>15</v>
      </c>
      <c r="T377">
        <f ca="1">subscriptions[[#This Row],[monthly_revenue]]*subscriptions[[#This Row],[customer_lifetime]]</f>
        <v>49307.399999999994</v>
      </c>
      <c r="U377" t="str">
        <f>IF(subscriptions[[#This Row],[feature_usage_pct]]&lt;30,"High Risk",IF(subscriptions[[#This Row],[feature_usage_pct]]&lt;60,"Medium Risk","Low Risk"))</f>
        <v>High Risk</v>
      </c>
      <c r="V377">
        <f ca="1">subscriptions[[#This Row],[CLV]]/200</f>
        <v>246.53699999999998</v>
      </c>
    </row>
    <row r="378" spans="1:22" x14ac:dyDescent="0.25">
      <c r="A378" t="s">
        <v>431</v>
      </c>
      <c r="B378" t="s">
        <v>31</v>
      </c>
      <c r="C378" t="s">
        <v>19</v>
      </c>
      <c r="D378" t="s">
        <v>68</v>
      </c>
      <c r="E378" s="2" t="s">
        <v>663</v>
      </c>
      <c r="F378">
        <v>26</v>
      </c>
      <c r="G378">
        <v>137.75</v>
      </c>
      <c r="H378" t="s">
        <v>22</v>
      </c>
      <c r="I378" t="s">
        <v>69</v>
      </c>
      <c r="J378" s="1">
        <v>45191</v>
      </c>
      <c r="K378" t="s">
        <v>24</v>
      </c>
      <c r="L378" s="1">
        <v>45269</v>
      </c>
      <c r="M378" t="s">
        <v>46</v>
      </c>
      <c r="N378">
        <v>12</v>
      </c>
      <c r="O378">
        <v>1</v>
      </c>
      <c r="P378">
        <v>33</v>
      </c>
      <c r="Q378" t="s">
        <v>26</v>
      </c>
      <c r="R378">
        <f>IF(subscriptions[[#This Row],[churned]]="Yes",1,0)</f>
        <v>1</v>
      </c>
      <c r="S378">
        <f ca="1">IF(subscriptions[[#This Row],[churn_flag]]=1, DATEDIF(subscriptions[[#This Row],[signup_date]],subscriptions[[#This Row],[churn_date]],"M"), DATEDIF(subscriptions[[#This Row],[signup_date]],TODAY(),"M"))</f>
        <v>2</v>
      </c>
      <c r="T378">
        <f ca="1">subscriptions[[#This Row],[monthly_revenue]]*subscriptions[[#This Row],[customer_lifetime]]</f>
        <v>275.5</v>
      </c>
      <c r="U378" t="str">
        <f>IF(subscriptions[[#This Row],[feature_usage_pct]]&lt;30,"High Risk",IF(subscriptions[[#This Row],[feature_usage_pct]]&lt;60,"Medium Risk","Low Risk"))</f>
        <v>Medium Risk</v>
      </c>
      <c r="V378">
        <f ca="1">subscriptions[[#This Row],[CLV]]/200</f>
        <v>1.3774999999999999</v>
      </c>
    </row>
    <row r="379" spans="1:22" x14ac:dyDescent="0.25">
      <c r="A379" t="s">
        <v>432</v>
      </c>
      <c r="B379" t="s">
        <v>36</v>
      </c>
      <c r="C379" t="s">
        <v>19</v>
      </c>
      <c r="D379" t="s">
        <v>40</v>
      </c>
      <c r="E379" s="2" t="s">
        <v>663</v>
      </c>
      <c r="F379">
        <v>5</v>
      </c>
      <c r="G379">
        <v>318.39999999999998</v>
      </c>
      <c r="H379" t="s">
        <v>22</v>
      </c>
      <c r="I379" t="s">
        <v>55</v>
      </c>
      <c r="J379" s="1">
        <v>44692</v>
      </c>
      <c r="K379" t="s">
        <v>24</v>
      </c>
      <c r="L379" s="1">
        <v>45237</v>
      </c>
      <c r="M379" t="s">
        <v>46</v>
      </c>
      <c r="N379">
        <v>10</v>
      </c>
      <c r="O379">
        <v>6</v>
      </c>
      <c r="P379">
        <v>31</v>
      </c>
      <c r="Q379" t="s">
        <v>26</v>
      </c>
      <c r="R379">
        <f>IF(subscriptions[[#This Row],[churned]]="Yes",1,0)</f>
        <v>1</v>
      </c>
      <c r="S379">
        <f ca="1">IF(subscriptions[[#This Row],[churn_flag]]=1, DATEDIF(subscriptions[[#This Row],[signup_date]],subscriptions[[#This Row],[churn_date]],"M"), DATEDIF(subscriptions[[#This Row],[signup_date]],TODAY(),"M"))</f>
        <v>17</v>
      </c>
      <c r="T379">
        <f ca="1">subscriptions[[#This Row],[monthly_revenue]]*subscriptions[[#This Row],[customer_lifetime]]</f>
        <v>5412.7999999999993</v>
      </c>
      <c r="U379" t="str">
        <f>IF(subscriptions[[#This Row],[feature_usage_pct]]&lt;30,"High Risk",IF(subscriptions[[#This Row],[feature_usage_pct]]&lt;60,"Medium Risk","Low Risk"))</f>
        <v>Medium Risk</v>
      </c>
      <c r="V379">
        <f ca="1">subscriptions[[#This Row],[CLV]]/200</f>
        <v>27.063999999999997</v>
      </c>
    </row>
    <row r="380" spans="1:22" x14ac:dyDescent="0.25">
      <c r="A380" t="s">
        <v>433</v>
      </c>
      <c r="B380" t="s">
        <v>31</v>
      </c>
      <c r="C380" t="s">
        <v>28</v>
      </c>
      <c r="D380" t="s">
        <v>42</v>
      </c>
      <c r="E380" s="2" t="s">
        <v>45</v>
      </c>
      <c r="F380">
        <v>62</v>
      </c>
      <c r="G380">
        <v>250.2</v>
      </c>
      <c r="H380" t="s">
        <v>98</v>
      </c>
      <c r="I380" t="s">
        <v>55</v>
      </c>
      <c r="J380" s="1">
        <v>45129</v>
      </c>
      <c r="K380" t="s">
        <v>24</v>
      </c>
      <c r="L380" s="1">
        <v>45162</v>
      </c>
      <c r="M380" t="s">
        <v>82</v>
      </c>
      <c r="N380">
        <v>13</v>
      </c>
      <c r="O380">
        <v>6</v>
      </c>
      <c r="P380">
        <v>10</v>
      </c>
      <c r="Q380" t="s">
        <v>26</v>
      </c>
      <c r="R380">
        <f>IF(subscriptions[[#This Row],[churned]]="Yes",1,0)</f>
        <v>1</v>
      </c>
      <c r="S380">
        <f ca="1">IF(subscriptions[[#This Row],[churn_flag]]=1, DATEDIF(subscriptions[[#This Row],[signup_date]],subscriptions[[#This Row],[churn_date]],"M"), DATEDIF(subscriptions[[#This Row],[signup_date]],TODAY(),"M"))</f>
        <v>1</v>
      </c>
      <c r="T380">
        <f ca="1">subscriptions[[#This Row],[monthly_revenue]]*subscriptions[[#This Row],[customer_lifetime]]</f>
        <v>250.2</v>
      </c>
      <c r="U380" t="str">
        <f>IF(subscriptions[[#This Row],[feature_usage_pct]]&lt;30,"High Risk",IF(subscriptions[[#This Row],[feature_usage_pct]]&lt;60,"Medium Risk","Low Risk"))</f>
        <v>High Risk</v>
      </c>
      <c r="V380">
        <f ca="1">subscriptions[[#This Row],[CLV]]/200</f>
        <v>1.2509999999999999</v>
      </c>
    </row>
    <row r="381" spans="1:22" x14ac:dyDescent="0.25">
      <c r="A381" t="s">
        <v>434</v>
      </c>
      <c r="B381" t="s">
        <v>36</v>
      </c>
      <c r="C381" t="s">
        <v>28</v>
      </c>
      <c r="D381" t="s">
        <v>40</v>
      </c>
      <c r="E381" s="2" t="s">
        <v>45</v>
      </c>
      <c r="F381">
        <v>150</v>
      </c>
      <c r="G381">
        <v>3949.65</v>
      </c>
      <c r="H381" t="s">
        <v>22</v>
      </c>
      <c r="I381" t="s">
        <v>23</v>
      </c>
      <c r="J381" s="1">
        <v>45389</v>
      </c>
      <c r="K381" t="s">
        <v>26</v>
      </c>
      <c r="N381">
        <v>7</v>
      </c>
      <c r="O381">
        <v>9</v>
      </c>
      <c r="P381">
        <v>67</v>
      </c>
      <c r="Q381" t="s">
        <v>26</v>
      </c>
      <c r="R381">
        <f>IF(subscriptions[[#This Row],[churned]]="Yes",1,0)</f>
        <v>0</v>
      </c>
      <c r="S381">
        <f ca="1">IF(subscriptions[[#This Row],[churn_flag]]=1, DATEDIF(subscriptions[[#This Row],[signup_date]],subscriptions[[#This Row],[churn_date]],"M"), DATEDIF(subscriptions[[#This Row],[signup_date]],TODAY(),"M"))</f>
        <v>25</v>
      </c>
      <c r="T381">
        <f ca="1">subscriptions[[#This Row],[monthly_revenue]]*subscriptions[[#This Row],[customer_lifetime]]</f>
        <v>98741.25</v>
      </c>
      <c r="U381" t="str">
        <f>IF(subscriptions[[#This Row],[feature_usage_pct]]&lt;30,"High Risk",IF(subscriptions[[#This Row],[feature_usage_pct]]&lt;60,"Medium Risk","Low Risk"))</f>
        <v>Low Risk</v>
      </c>
      <c r="V381">
        <f ca="1">subscriptions[[#This Row],[CLV]]/200</f>
        <v>493.70625000000001</v>
      </c>
    </row>
    <row r="382" spans="1:22" x14ac:dyDescent="0.25">
      <c r="A382" t="s">
        <v>435</v>
      </c>
      <c r="B382" t="s">
        <v>31</v>
      </c>
      <c r="C382" t="s">
        <v>28</v>
      </c>
      <c r="D382" t="s">
        <v>37</v>
      </c>
      <c r="E382" s="2" t="s">
        <v>45</v>
      </c>
      <c r="F382">
        <v>126</v>
      </c>
      <c r="G382">
        <v>486.84</v>
      </c>
      <c r="H382" t="s">
        <v>29</v>
      </c>
      <c r="I382" t="s">
        <v>55</v>
      </c>
      <c r="J382" s="1">
        <v>44799</v>
      </c>
      <c r="K382" t="s">
        <v>26</v>
      </c>
      <c r="N382">
        <v>11</v>
      </c>
      <c r="O382">
        <v>5</v>
      </c>
      <c r="P382">
        <v>74</v>
      </c>
      <c r="Q382" t="s">
        <v>26</v>
      </c>
      <c r="R382">
        <f>IF(subscriptions[[#This Row],[churned]]="Yes",1,0)</f>
        <v>0</v>
      </c>
      <c r="S382">
        <f ca="1">IF(subscriptions[[#This Row],[churn_flag]]=1, DATEDIF(subscriptions[[#This Row],[signup_date]],subscriptions[[#This Row],[churn_date]],"M"), DATEDIF(subscriptions[[#This Row],[signup_date]],TODAY(),"M"))</f>
        <v>44</v>
      </c>
      <c r="T382">
        <f ca="1">subscriptions[[#This Row],[monthly_revenue]]*subscriptions[[#This Row],[customer_lifetime]]</f>
        <v>21420.959999999999</v>
      </c>
      <c r="U382" t="str">
        <f>IF(subscriptions[[#This Row],[feature_usage_pct]]&lt;30,"High Risk",IF(subscriptions[[#This Row],[feature_usage_pct]]&lt;60,"Medium Risk","Low Risk"))</f>
        <v>Low Risk</v>
      </c>
      <c r="V382">
        <f ca="1">subscriptions[[#This Row],[CLV]]/200</f>
        <v>107.1048</v>
      </c>
    </row>
    <row r="383" spans="1:22" x14ac:dyDescent="0.25">
      <c r="A383" t="s">
        <v>436</v>
      </c>
      <c r="B383" t="s">
        <v>31</v>
      </c>
      <c r="C383" t="s">
        <v>19</v>
      </c>
      <c r="D383" t="s">
        <v>20</v>
      </c>
      <c r="E383" s="2" t="s">
        <v>663</v>
      </c>
      <c r="F383">
        <v>24</v>
      </c>
      <c r="G383">
        <v>129.05000000000001</v>
      </c>
      <c r="H383" t="s">
        <v>22</v>
      </c>
      <c r="I383" t="s">
        <v>23</v>
      </c>
      <c r="J383" s="1">
        <v>44940</v>
      </c>
      <c r="K383" t="s">
        <v>24</v>
      </c>
      <c r="L383" s="1">
        <v>45922</v>
      </c>
      <c r="M383" t="s">
        <v>25</v>
      </c>
      <c r="N383">
        <v>11</v>
      </c>
      <c r="O383">
        <v>1</v>
      </c>
      <c r="P383">
        <v>16</v>
      </c>
      <c r="Q383" t="s">
        <v>26</v>
      </c>
      <c r="R383">
        <f>IF(subscriptions[[#This Row],[churned]]="Yes",1,0)</f>
        <v>1</v>
      </c>
      <c r="S383">
        <f ca="1">IF(subscriptions[[#This Row],[churn_flag]]=1, DATEDIF(subscriptions[[#This Row],[signup_date]],subscriptions[[#This Row],[churn_date]],"M"), DATEDIF(subscriptions[[#This Row],[signup_date]],TODAY(),"M"))</f>
        <v>32</v>
      </c>
      <c r="T383">
        <f ca="1">subscriptions[[#This Row],[monthly_revenue]]*subscriptions[[#This Row],[customer_lifetime]]</f>
        <v>4129.6000000000004</v>
      </c>
      <c r="U383" t="str">
        <f>IF(subscriptions[[#This Row],[feature_usage_pct]]&lt;30,"High Risk",IF(subscriptions[[#This Row],[feature_usage_pct]]&lt;60,"Medium Risk","Low Risk"))</f>
        <v>High Risk</v>
      </c>
      <c r="V383">
        <f ca="1">subscriptions[[#This Row],[CLV]]/200</f>
        <v>20.648000000000003</v>
      </c>
    </row>
    <row r="384" spans="1:22" x14ac:dyDescent="0.25">
      <c r="A384" t="s">
        <v>437</v>
      </c>
      <c r="B384" t="s">
        <v>18</v>
      </c>
      <c r="C384" t="s">
        <v>28</v>
      </c>
      <c r="D384" t="s">
        <v>42</v>
      </c>
      <c r="E384" s="2" t="s">
        <v>664</v>
      </c>
      <c r="F384">
        <v>4</v>
      </c>
      <c r="G384">
        <v>97.37</v>
      </c>
      <c r="H384" t="s">
        <v>43</v>
      </c>
      <c r="I384" t="s">
        <v>23</v>
      </c>
      <c r="J384" s="1">
        <v>45715</v>
      </c>
      <c r="K384" t="s">
        <v>24</v>
      </c>
      <c r="L384" s="1">
        <v>45970</v>
      </c>
      <c r="M384" t="s">
        <v>50</v>
      </c>
      <c r="N384">
        <v>0</v>
      </c>
      <c r="O384">
        <v>4</v>
      </c>
      <c r="P384">
        <v>29</v>
      </c>
      <c r="Q384" t="s">
        <v>26</v>
      </c>
      <c r="R384">
        <f>IF(subscriptions[[#This Row],[churned]]="Yes",1,0)</f>
        <v>1</v>
      </c>
      <c r="S384">
        <f ca="1">IF(subscriptions[[#This Row],[churn_flag]]=1, DATEDIF(subscriptions[[#This Row],[signup_date]],subscriptions[[#This Row],[churn_date]],"M"), DATEDIF(subscriptions[[#This Row],[signup_date]],TODAY(),"M"))</f>
        <v>8</v>
      </c>
      <c r="T384">
        <f ca="1">subscriptions[[#This Row],[monthly_revenue]]*subscriptions[[#This Row],[customer_lifetime]]</f>
        <v>778.96</v>
      </c>
      <c r="U384" t="str">
        <f>IF(subscriptions[[#This Row],[feature_usage_pct]]&lt;30,"High Risk",IF(subscriptions[[#This Row],[feature_usage_pct]]&lt;60,"Medium Risk","Low Risk"))</f>
        <v>High Risk</v>
      </c>
      <c r="V384">
        <f ca="1">subscriptions[[#This Row],[CLV]]/200</f>
        <v>3.8948</v>
      </c>
    </row>
    <row r="385" spans="1:22" x14ac:dyDescent="0.25">
      <c r="A385" t="s">
        <v>438</v>
      </c>
      <c r="B385" t="s">
        <v>71</v>
      </c>
      <c r="C385" t="s">
        <v>19</v>
      </c>
      <c r="D385" t="s">
        <v>79</v>
      </c>
      <c r="E385" s="2" t="s">
        <v>45</v>
      </c>
      <c r="F385">
        <v>141</v>
      </c>
      <c r="G385">
        <v>10978</v>
      </c>
      <c r="H385" t="s">
        <v>60</v>
      </c>
      <c r="I385" t="s">
        <v>38</v>
      </c>
      <c r="J385" s="1">
        <v>44828</v>
      </c>
      <c r="K385" t="s">
        <v>26</v>
      </c>
      <c r="N385">
        <v>6</v>
      </c>
      <c r="O385">
        <v>2</v>
      </c>
      <c r="P385">
        <v>49</v>
      </c>
      <c r="Q385" t="s">
        <v>26</v>
      </c>
      <c r="R385">
        <f>IF(subscriptions[[#This Row],[churned]]="Yes",1,0)</f>
        <v>0</v>
      </c>
      <c r="S385">
        <f ca="1">IF(subscriptions[[#This Row],[churn_flag]]=1, DATEDIF(subscriptions[[#This Row],[signup_date]],subscriptions[[#This Row],[churn_date]],"M"), DATEDIF(subscriptions[[#This Row],[signup_date]],TODAY(),"M"))</f>
        <v>43</v>
      </c>
      <c r="T385">
        <f ca="1">subscriptions[[#This Row],[monthly_revenue]]*subscriptions[[#This Row],[customer_lifetime]]</f>
        <v>472054</v>
      </c>
      <c r="U385" t="str">
        <f>IF(subscriptions[[#This Row],[feature_usage_pct]]&lt;30,"High Risk",IF(subscriptions[[#This Row],[feature_usage_pct]]&lt;60,"Medium Risk","Low Risk"))</f>
        <v>Medium Risk</v>
      </c>
      <c r="V385">
        <f ca="1">subscriptions[[#This Row],[CLV]]/200</f>
        <v>2360.27</v>
      </c>
    </row>
    <row r="386" spans="1:22" x14ac:dyDescent="0.25">
      <c r="A386" t="s">
        <v>439</v>
      </c>
      <c r="B386" t="s">
        <v>31</v>
      </c>
      <c r="C386" t="s">
        <v>28</v>
      </c>
      <c r="D386" t="s">
        <v>20</v>
      </c>
      <c r="E386" s="2" t="s">
        <v>45</v>
      </c>
      <c r="F386">
        <v>142</v>
      </c>
      <c r="G386">
        <v>546</v>
      </c>
      <c r="H386" t="s">
        <v>60</v>
      </c>
      <c r="I386" t="s">
        <v>23</v>
      </c>
      <c r="J386" s="1">
        <v>45171</v>
      </c>
      <c r="K386" t="s">
        <v>24</v>
      </c>
      <c r="L386" s="1">
        <v>45199</v>
      </c>
      <c r="M386" t="s">
        <v>63</v>
      </c>
      <c r="N386">
        <v>13</v>
      </c>
      <c r="O386">
        <v>2</v>
      </c>
      <c r="P386">
        <v>31</v>
      </c>
      <c r="Q386" t="s">
        <v>26</v>
      </c>
      <c r="R386">
        <f>IF(subscriptions[[#This Row],[churned]]="Yes",1,0)</f>
        <v>1</v>
      </c>
      <c r="S386">
        <f ca="1">IF(subscriptions[[#This Row],[churn_flag]]=1, DATEDIF(subscriptions[[#This Row],[signup_date]],subscriptions[[#This Row],[churn_date]],"M"), DATEDIF(subscriptions[[#This Row],[signup_date]],TODAY(),"M"))</f>
        <v>0</v>
      </c>
      <c r="T386">
        <f ca="1">subscriptions[[#This Row],[monthly_revenue]]*subscriptions[[#This Row],[customer_lifetime]]</f>
        <v>0</v>
      </c>
      <c r="U386" t="str">
        <f>IF(subscriptions[[#This Row],[feature_usage_pct]]&lt;30,"High Risk",IF(subscriptions[[#This Row],[feature_usage_pct]]&lt;60,"Medium Risk","Low Risk"))</f>
        <v>Medium Risk</v>
      </c>
      <c r="V386">
        <f ca="1">subscriptions[[#This Row],[CLV]]/200</f>
        <v>0</v>
      </c>
    </row>
    <row r="387" spans="1:22" x14ac:dyDescent="0.25">
      <c r="A387" t="s">
        <v>440</v>
      </c>
      <c r="B387" t="s">
        <v>18</v>
      </c>
      <c r="C387" t="s">
        <v>19</v>
      </c>
      <c r="D387" t="s">
        <v>37</v>
      </c>
      <c r="E387" s="2" t="s">
        <v>664</v>
      </c>
      <c r="F387">
        <v>4</v>
      </c>
      <c r="G387">
        <v>114.55</v>
      </c>
      <c r="H387" t="s">
        <v>43</v>
      </c>
      <c r="I387" t="s">
        <v>69</v>
      </c>
      <c r="J387" s="1">
        <v>45889</v>
      </c>
      <c r="K387" t="s">
        <v>24</v>
      </c>
      <c r="L387" s="1">
        <v>46004</v>
      </c>
      <c r="M387" t="s">
        <v>53</v>
      </c>
      <c r="N387">
        <v>7</v>
      </c>
      <c r="O387">
        <v>1</v>
      </c>
      <c r="P387">
        <v>24</v>
      </c>
      <c r="Q387" t="s">
        <v>26</v>
      </c>
      <c r="R387">
        <f>IF(subscriptions[[#This Row],[churned]]="Yes",1,0)</f>
        <v>1</v>
      </c>
      <c r="S387">
        <f ca="1">IF(subscriptions[[#This Row],[churn_flag]]=1, DATEDIF(subscriptions[[#This Row],[signup_date]],subscriptions[[#This Row],[churn_date]],"M"), DATEDIF(subscriptions[[#This Row],[signup_date]],TODAY(),"M"))</f>
        <v>3</v>
      </c>
      <c r="T387">
        <f ca="1">subscriptions[[#This Row],[monthly_revenue]]*subscriptions[[#This Row],[customer_lifetime]]</f>
        <v>343.65</v>
      </c>
      <c r="U387" t="str">
        <f>IF(subscriptions[[#This Row],[feature_usage_pct]]&lt;30,"High Risk",IF(subscriptions[[#This Row],[feature_usage_pct]]&lt;60,"Medium Risk","Low Risk"))</f>
        <v>High Risk</v>
      </c>
      <c r="V387">
        <f ca="1">subscriptions[[#This Row],[CLV]]/200</f>
        <v>1.7182499999999998</v>
      </c>
    </row>
    <row r="388" spans="1:22" x14ac:dyDescent="0.25">
      <c r="A388" t="s">
        <v>441</v>
      </c>
      <c r="B388" t="s">
        <v>31</v>
      </c>
      <c r="C388" t="s">
        <v>19</v>
      </c>
      <c r="D388" t="s">
        <v>68</v>
      </c>
      <c r="E388" s="2" t="s">
        <v>664</v>
      </c>
      <c r="F388">
        <v>3</v>
      </c>
      <c r="G388">
        <v>37.700000000000003</v>
      </c>
      <c r="H388" t="s">
        <v>43</v>
      </c>
      <c r="I388" t="s">
        <v>23</v>
      </c>
      <c r="J388" s="1">
        <v>45137</v>
      </c>
      <c r="K388" t="s">
        <v>24</v>
      </c>
      <c r="L388" s="1">
        <v>45270</v>
      </c>
      <c r="M388" t="s">
        <v>25</v>
      </c>
      <c r="N388">
        <v>11</v>
      </c>
      <c r="O388">
        <v>1</v>
      </c>
      <c r="P388">
        <v>46</v>
      </c>
      <c r="Q388" t="s">
        <v>26</v>
      </c>
      <c r="R388">
        <f>IF(subscriptions[[#This Row],[churned]]="Yes",1,0)</f>
        <v>1</v>
      </c>
      <c r="S388">
        <f ca="1">IF(subscriptions[[#This Row],[churn_flag]]=1, DATEDIF(subscriptions[[#This Row],[signup_date]],subscriptions[[#This Row],[churn_date]],"M"), DATEDIF(subscriptions[[#This Row],[signup_date]],TODAY(),"M"))</f>
        <v>4</v>
      </c>
      <c r="T388">
        <f ca="1">subscriptions[[#This Row],[monthly_revenue]]*subscriptions[[#This Row],[customer_lifetime]]</f>
        <v>150.80000000000001</v>
      </c>
      <c r="U388" t="str">
        <f>IF(subscriptions[[#This Row],[feature_usage_pct]]&lt;30,"High Risk",IF(subscriptions[[#This Row],[feature_usage_pct]]&lt;60,"Medium Risk","Low Risk"))</f>
        <v>Medium Risk</v>
      </c>
      <c r="V388">
        <f ca="1">subscriptions[[#This Row],[CLV]]/200</f>
        <v>0.754</v>
      </c>
    </row>
    <row r="389" spans="1:22" x14ac:dyDescent="0.25">
      <c r="A389" t="s">
        <v>442</v>
      </c>
      <c r="B389" t="s">
        <v>18</v>
      </c>
      <c r="C389" t="s">
        <v>28</v>
      </c>
      <c r="D389" t="s">
        <v>79</v>
      </c>
      <c r="E389" s="2" t="s">
        <v>663</v>
      </c>
      <c r="F389">
        <v>31</v>
      </c>
      <c r="G389">
        <v>369.33</v>
      </c>
      <c r="H389" t="s">
        <v>34</v>
      </c>
      <c r="I389" t="s">
        <v>55</v>
      </c>
      <c r="J389" s="1">
        <v>45071</v>
      </c>
      <c r="K389" t="s">
        <v>26</v>
      </c>
      <c r="N389">
        <v>11</v>
      </c>
      <c r="O389">
        <v>4</v>
      </c>
      <c r="P389">
        <v>66</v>
      </c>
      <c r="Q389" t="s">
        <v>26</v>
      </c>
      <c r="R389">
        <f>IF(subscriptions[[#This Row],[churned]]="Yes",1,0)</f>
        <v>0</v>
      </c>
      <c r="S389">
        <f ca="1">IF(subscriptions[[#This Row],[churn_flag]]=1, DATEDIF(subscriptions[[#This Row],[signup_date]],subscriptions[[#This Row],[churn_date]],"M"), DATEDIF(subscriptions[[#This Row],[signup_date]],TODAY(),"M"))</f>
        <v>35</v>
      </c>
      <c r="T389">
        <f ca="1">subscriptions[[#This Row],[monthly_revenue]]*subscriptions[[#This Row],[customer_lifetime]]</f>
        <v>12926.55</v>
      </c>
      <c r="U389" t="str">
        <f>IF(subscriptions[[#This Row],[feature_usage_pct]]&lt;30,"High Risk",IF(subscriptions[[#This Row],[feature_usage_pct]]&lt;60,"Medium Risk","Low Risk"))</f>
        <v>Low Risk</v>
      </c>
      <c r="V389">
        <f ca="1">subscriptions[[#This Row],[CLV]]/200</f>
        <v>64.632750000000001</v>
      </c>
    </row>
    <row r="390" spans="1:22" x14ac:dyDescent="0.25">
      <c r="A390" t="s">
        <v>443</v>
      </c>
      <c r="B390" t="s">
        <v>18</v>
      </c>
      <c r="C390" t="s">
        <v>28</v>
      </c>
      <c r="D390" t="s">
        <v>49</v>
      </c>
      <c r="E390" s="2" t="s">
        <v>45</v>
      </c>
      <c r="F390">
        <v>94</v>
      </c>
      <c r="G390">
        <v>1003.89</v>
      </c>
      <c r="H390" t="s">
        <v>43</v>
      </c>
      <c r="I390" t="s">
        <v>69</v>
      </c>
      <c r="J390" s="1">
        <v>45470</v>
      </c>
      <c r="K390" t="s">
        <v>26</v>
      </c>
      <c r="N390">
        <v>7</v>
      </c>
      <c r="O390">
        <v>7</v>
      </c>
      <c r="P390">
        <v>62</v>
      </c>
      <c r="Q390" t="s">
        <v>26</v>
      </c>
      <c r="R390">
        <f>IF(subscriptions[[#This Row],[churned]]="Yes",1,0)</f>
        <v>0</v>
      </c>
      <c r="S390">
        <f ca="1">IF(subscriptions[[#This Row],[churn_flag]]=1, DATEDIF(subscriptions[[#This Row],[signup_date]],subscriptions[[#This Row],[churn_date]],"M"), DATEDIF(subscriptions[[#This Row],[signup_date]],TODAY(),"M"))</f>
        <v>22</v>
      </c>
      <c r="T390">
        <f ca="1">subscriptions[[#This Row],[monthly_revenue]]*subscriptions[[#This Row],[customer_lifetime]]</f>
        <v>22085.579999999998</v>
      </c>
      <c r="U390" t="str">
        <f>IF(subscriptions[[#This Row],[feature_usage_pct]]&lt;30,"High Risk",IF(subscriptions[[#This Row],[feature_usage_pct]]&lt;60,"Medium Risk","Low Risk"))</f>
        <v>Low Risk</v>
      </c>
      <c r="V390">
        <f ca="1">subscriptions[[#This Row],[CLV]]/200</f>
        <v>110.42789999999999</v>
      </c>
    </row>
    <row r="391" spans="1:22" x14ac:dyDescent="0.25">
      <c r="A391" t="s">
        <v>444</v>
      </c>
      <c r="B391" t="s">
        <v>18</v>
      </c>
      <c r="C391" t="s">
        <v>19</v>
      </c>
      <c r="D391" t="s">
        <v>40</v>
      </c>
      <c r="E391" s="2" t="s">
        <v>45</v>
      </c>
      <c r="F391">
        <v>38</v>
      </c>
      <c r="G391">
        <v>517.45000000000005</v>
      </c>
      <c r="H391" t="s">
        <v>60</v>
      </c>
      <c r="I391" t="s">
        <v>23</v>
      </c>
      <c r="J391" s="1">
        <v>45059</v>
      </c>
      <c r="K391" t="s">
        <v>24</v>
      </c>
      <c r="L391" s="1">
        <v>45500</v>
      </c>
      <c r="M391" t="s">
        <v>46</v>
      </c>
      <c r="N391">
        <v>4</v>
      </c>
      <c r="O391">
        <v>4</v>
      </c>
      <c r="P391">
        <v>44</v>
      </c>
      <c r="Q391" t="s">
        <v>26</v>
      </c>
      <c r="R391">
        <f>IF(subscriptions[[#This Row],[churned]]="Yes",1,0)</f>
        <v>1</v>
      </c>
      <c r="S391">
        <f ca="1">IF(subscriptions[[#This Row],[churn_flag]]=1, DATEDIF(subscriptions[[#This Row],[signup_date]],subscriptions[[#This Row],[churn_date]],"M"), DATEDIF(subscriptions[[#This Row],[signup_date]],TODAY(),"M"))</f>
        <v>14</v>
      </c>
      <c r="T391">
        <f ca="1">subscriptions[[#This Row],[monthly_revenue]]*subscriptions[[#This Row],[customer_lifetime]]</f>
        <v>7244.3000000000011</v>
      </c>
      <c r="U391" t="str">
        <f>IF(subscriptions[[#This Row],[feature_usage_pct]]&lt;30,"High Risk",IF(subscriptions[[#This Row],[feature_usage_pct]]&lt;60,"Medium Risk","Low Risk"))</f>
        <v>Medium Risk</v>
      </c>
      <c r="V391">
        <f ca="1">subscriptions[[#This Row],[CLV]]/200</f>
        <v>36.221500000000006</v>
      </c>
    </row>
    <row r="392" spans="1:22" x14ac:dyDescent="0.25">
      <c r="A392" t="s">
        <v>445</v>
      </c>
      <c r="B392" t="s">
        <v>31</v>
      </c>
      <c r="C392" t="s">
        <v>28</v>
      </c>
      <c r="D392" t="s">
        <v>40</v>
      </c>
      <c r="E392" s="2" t="s">
        <v>664</v>
      </c>
      <c r="F392">
        <v>8</v>
      </c>
      <c r="G392">
        <v>50.53</v>
      </c>
      <c r="H392" t="s">
        <v>60</v>
      </c>
      <c r="I392" t="s">
        <v>38</v>
      </c>
      <c r="J392" s="1">
        <v>44865</v>
      </c>
      <c r="K392" t="s">
        <v>24</v>
      </c>
      <c r="L392" s="1">
        <v>45453</v>
      </c>
      <c r="M392" t="s">
        <v>63</v>
      </c>
      <c r="N392">
        <v>2</v>
      </c>
      <c r="O392">
        <v>6</v>
      </c>
      <c r="P392">
        <v>17</v>
      </c>
      <c r="Q392" t="s">
        <v>26</v>
      </c>
      <c r="R392">
        <f>IF(subscriptions[[#This Row],[churned]]="Yes",1,0)</f>
        <v>1</v>
      </c>
      <c r="S392">
        <f ca="1">IF(subscriptions[[#This Row],[churn_flag]]=1, DATEDIF(subscriptions[[#This Row],[signup_date]],subscriptions[[#This Row],[churn_date]],"M"), DATEDIF(subscriptions[[#This Row],[signup_date]],TODAY(),"M"))</f>
        <v>19</v>
      </c>
      <c r="T392">
        <f ca="1">subscriptions[[#This Row],[monthly_revenue]]*subscriptions[[#This Row],[customer_lifetime]]</f>
        <v>960.07</v>
      </c>
      <c r="U392" t="str">
        <f>IF(subscriptions[[#This Row],[feature_usage_pct]]&lt;30,"High Risk",IF(subscriptions[[#This Row],[feature_usage_pct]]&lt;60,"Medium Risk","Low Risk"))</f>
        <v>High Risk</v>
      </c>
      <c r="V392">
        <f ca="1">subscriptions[[#This Row],[CLV]]/200</f>
        <v>4.8003499999999999</v>
      </c>
    </row>
    <row r="393" spans="1:22" x14ac:dyDescent="0.25">
      <c r="A393" t="s">
        <v>446</v>
      </c>
      <c r="B393" t="s">
        <v>31</v>
      </c>
      <c r="C393" t="s">
        <v>19</v>
      </c>
      <c r="D393" t="s">
        <v>49</v>
      </c>
      <c r="E393" s="2" t="s">
        <v>663</v>
      </c>
      <c r="F393">
        <v>19</v>
      </c>
      <c r="G393">
        <v>107.3</v>
      </c>
      <c r="H393" t="s">
        <v>60</v>
      </c>
      <c r="I393" t="s">
        <v>23</v>
      </c>
      <c r="J393" s="1">
        <v>45361</v>
      </c>
      <c r="K393" t="s">
        <v>24</v>
      </c>
      <c r="L393" s="1">
        <v>45418</v>
      </c>
      <c r="M393" t="s">
        <v>82</v>
      </c>
      <c r="N393">
        <v>9</v>
      </c>
      <c r="O393">
        <v>5</v>
      </c>
      <c r="P393">
        <v>18</v>
      </c>
      <c r="Q393" t="s">
        <v>26</v>
      </c>
      <c r="R393">
        <f>IF(subscriptions[[#This Row],[churned]]="Yes",1,0)</f>
        <v>1</v>
      </c>
      <c r="S393">
        <f ca="1">IF(subscriptions[[#This Row],[churn_flag]]=1, DATEDIF(subscriptions[[#This Row],[signup_date]],subscriptions[[#This Row],[churn_date]],"M"), DATEDIF(subscriptions[[#This Row],[signup_date]],TODAY(),"M"))</f>
        <v>1</v>
      </c>
      <c r="T393">
        <f ca="1">subscriptions[[#This Row],[monthly_revenue]]*subscriptions[[#This Row],[customer_lifetime]]</f>
        <v>107.3</v>
      </c>
      <c r="U393" t="str">
        <f>IF(subscriptions[[#This Row],[feature_usage_pct]]&lt;30,"High Risk",IF(subscriptions[[#This Row],[feature_usage_pct]]&lt;60,"Medium Risk","Low Risk"))</f>
        <v>High Risk</v>
      </c>
      <c r="V393">
        <f ca="1">subscriptions[[#This Row],[CLV]]/200</f>
        <v>0.53649999999999998</v>
      </c>
    </row>
    <row r="394" spans="1:22" x14ac:dyDescent="0.25">
      <c r="A394" t="s">
        <v>447</v>
      </c>
      <c r="B394" t="s">
        <v>18</v>
      </c>
      <c r="C394" t="s">
        <v>19</v>
      </c>
      <c r="D394" t="s">
        <v>49</v>
      </c>
      <c r="E394" s="2" t="s">
        <v>21</v>
      </c>
      <c r="F394">
        <v>39</v>
      </c>
      <c r="G394">
        <v>529.29999999999995</v>
      </c>
      <c r="H394" t="s">
        <v>29</v>
      </c>
      <c r="I394" t="s">
        <v>23</v>
      </c>
      <c r="J394" s="1">
        <v>45701</v>
      </c>
      <c r="K394" t="s">
        <v>26</v>
      </c>
      <c r="N394">
        <v>1</v>
      </c>
      <c r="O394">
        <v>10</v>
      </c>
      <c r="P394">
        <v>49</v>
      </c>
      <c r="Q394" t="s">
        <v>26</v>
      </c>
      <c r="R394">
        <f>IF(subscriptions[[#This Row],[churned]]="Yes",1,0)</f>
        <v>0</v>
      </c>
      <c r="S394">
        <f ca="1">IF(subscriptions[[#This Row],[churn_flag]]=1, DATEDIF(subscriptions[[#This Row],[signup_date]],subscriptions[[#This Row],[churn_date]],"M"), DATEDIF(subscriptions[[#This Row],[signup_date]],TODAY(),"M"))</f>
        <v>15</v>
      </c>
      <c r="T394">
        <f ca="1">subscriptions[[#This Row],[monthly_revenue]]*subscriptions[[#This Row],[customer_lifetime]]</f>
        <v>7939.4999999999991</v>
      </c>
      <c r="U394" t="str">
        <f>IF(subscriptions[[#This Row],[feature_usage_pct]]&lt;30,"High Risk",IF(subscriptions[[#This Row],[feature_usage_pct]]&lt;60,"Medium Risk","Low Risk"))</f>
        <v>Medium Risk</v>
      </c>
      <c r="V394">
        <f ca="1">subscriptions[[#This Row],[CLV]]/200</f>
        <v>39.697499999999998</v>
      </c>
    </row>
    <row r="395" spans="1:22" x14ac:dyDescent="0.25">
      <c r="A395" t="s">
        <v>448</v>
      </c>
      <c r="B395" t="s">
        <v>18</v>
      </c>
      <c r="C395" t="s">
        <v>28</v>
      </c>
      <c r="D395" t="s">
        <v>37</v>
      </c>
      <c r="E395" s="2" t="s">
        <v>663</v>
      </c>
      <c r="F395">
        <v>19</v>
      </c>
      <c r="G395">
        <v>248.46</v>
      </c>
      <c r="H395" t="s">
        <v>22</v>
      </c>
      <c r="I395" t="s">
        <v>23</v>
      </c>
      <c r="J395" s="1">
        <v>45379</v>
      </c>
      <c r="K395" t="s">
        <v>26</v>
      </c>
      <c r="N395">
        <v>5</v>
      </c>
      <c r="O395">
        <v>6</v>
      </c>
      <c r="P395">
        <v>23</v>
      </c>
      <c r="Q395" t="s">
        <v>26</v>
      </c>
      <c r="R395">
        <f>IF(subscriptions[[#This Row],[churned]]="Yes",1,0)</f>
        <v>0</v>
      </c>
      <c r="S395">
        <f ca="1">IF(subscriptions[[#This Row],[churn_flag]]=1, DATEDIF(subscriptions[[#This Row],[signup_date]],subscriptions[[#This Row],[churn_date]],"M"), DATEDIF(subscriptions[[#This Row],[signup_date]],TODAY(),"M"))</f>
        <v>25</v>
      </c>
      <c r="T395">
        <f ca="1">subscriptions[[#This Row],[monthly_revenue]]*subscriptions[[#This Row],[customer_lifetime]]</f>
        <v>6211.5</v>
      </c>
      <c r="U395" t="str">
        <f>IF(subscriptions[[#This Row],[feature_usage_pct]]&lt;30,"High Risk",IF(subscriptions[[#This Row],[feature_usage_pct]]&lt;60,"Medium Risk","Low Risk"))</f>
        <v>High Risk</v>
      </c>
      <c r="V395">
        <f ca="1">subscriptions[[#This Row],[CLV]]/200</f>
        <v>31.057500000000001</v>
      </c>
    </row>
    <row r="396" spans="1:22" x14ac:dyDescent="0.25">
      <c r="A396" t="s">
        <v>449</v>
      </c>
      <c r="B396" t="s">
        <v>36</v>
      </c>
      <c r="C396" t="s">
        <v>19</v>
      </c>
      <c r="D396" t="s">
        <v>32</v>
      </c>
      <c r="E396" s="2" t="s">
        <v>664</v>
      </c>
      <c r="F396">
        <v>4</v>
      </c>
      <c r="G396">
        <v>288.55</v>
      </c>
      <c r="H396" t="s">
        <v>22</v>
      </c>
      <c r="I396" t="s">
        <v>38</v>
      </c>
      <c r="J396" s="1">
        <v>45363</v>
      </c>
      <c r="K396" t="s">
        <v>26</v>
      </c>
      <c r="N396">
        <v>0</v>
      </c>
      <c r="O396">
        <v>4</v>
      </c>
      <c r="P396">
        <v>39</v>
      </c>
      <c r="Q396" t="s">
        <v>26</v>
      </c>
      <c r="R396">
        <f>IF(subscriptions[[#This Row],[churned]]="Yes",1,0)</f>
        <v>0</v>
      </c>
      <c r="S396">
        <f ca="1">IF(subscriptions[[#This Row],[churn_flag]]=1, DATEDIF(subscriptions[[#This Row],[signup_date]],subscriptions[[#This Row],[churn_date]],"M"), DATEDIF(subscriptions[[#This Row],[signup_date]],TODAY(),"M"))</f>
        <v>26</v>
      </c>
      <c r="T396">
        <f ca="1">subscriptions[[#This Row],[monthly_revenue]]*subscriptions[[#This Row],[customer_lifetime]]</f>
        <v>7502.3</v>
      </c>
      <c r="U396" t="str">
        <f>IF(subscriptions[[#This Row],[feature_usage_pct]]&lt;30,"High Risk",IF(subscriptions[[#This Row],[feature_usage_pct]]&lt;60,"Medium Risk","Low Risk"))</f>
        <v>Medium Risk</v>
      </c>
      <c r="V396">
        <f ca="1">subscriptions[[#This Row],[CLV]]/200</f>
        <v>37.511499999999998</v>
      </c>
    </row>
    <row r="397" spans="1:22" x14ac:dyDescent="0.25">
      <c r="A397" t="s">
        <v>450</v>
      </c>
      <c r="B397" t="s">
        <v>18</v>
      </c>
      <c r="C397" t="s">
        <v>19</v>
      </c>
      <c r="D397" t="s">
        <v>62</v>
      </c>
      <c r="E397" s="2" t="s">
        <v>664</v>
      </c>
      <c r="F397">
        <v>7</v>
      </c>
      <c r="G397">
        <v>150.1</v>
      </c>
      <c r="H397" t="s">
        <v>43</v>
      </c>
      <c r="I397" t="s">
        <v>38</v>
      </c>
      <c r="J397" s="1">
        <v>45217</v>
      </c>
      <c r="K397" t="s">
        <v>26</v>
      </c>
      <c r="N397">
        <v>3</v>
      </c>
      <c r="O397">
        <v>7</v>
      </c>
      <c r="P397">
        <v>73</v>
      </c>
      <c r="Q397" t="s">
        <v>26</v>
      </c>
      <c r="R397">
        <f>IF(subscriptions[[#This Row],[churned]]="Yes",1,0)</f>
        <v>0</v>
      </c>
      <c r="S397">
        <f ca="1">IF(subscriptions[[#This Row],[churn_flag]]=1, DATEDIF(subscriptions[[#This Row],[signup_date]],subscriptions[[#This Row],[churn_date]],"M"), DATEDIF(subscriptions[[#This Row],[signup_date]],TODAY(),"M"))</f>
        <v>30</v>
      </c>
      <c r="T397">
        <f ca="1">subscriptions[[#This Row],[monthly_revenue]]*subscriptions[[#This Row],[customer_lifetime]]</f>
        <v>4503</v>
      </c>
      <c r="U397" t="str">
        <f>IF(subscriptions[[#This Row],[feature_usage_pct]]&lt;30,"High Risk",IF(subscriptions[[#This Row],[feature_usage_pct]]&lt;60,"Medium Risk","Low Risk"))</f>
        <v>Low Risk</v>
      </c>
      <c r="V397">
        <f ca="1">subscriptions[[#This Row],[CLV]]/200</f>
        <v>22.515000000000001</v>
      </c>
    </row>
    <row r="398" spans="1:22" x14ac:dyDescent="0.25">
      <c r="A398" t="s">
        <v>451</v>
      </c>
      <c r="B398" t="s">
        <v>31</v>
      </c>
      <c r="C398" t="s">
        <v>28</v>
      </c>
      <c r="D398" t="s">
        <v>37</v>
      </c>
      <c r="E398" s="2" t="s">
        <v>663</v>
      </c>
      <c r="F398">
        <v>5</v>
      </c>
      <c r="G398">
        <v>39.44</v>
      </c>
      <c r="H398" t="s">
        <v>22</v>
      </c>
      <c r="I398" t="s">
        <v>38</v>
      </c>
      <c r="J398" s="1">
        <v>45518</v>
      </c>
      <c r="K398" t="s">
        <v>24</v>
      </c>
      <c r="L398" s="1">
        <v>45592</v>
      </c>
      <c r="M398" t="s">
        <v>56</v>
      </c>
      <c r="N398">
        <v>2</v>
      </c>
      <c r="O398">
        <v>1</v>
      </c>
      <c r="P398">
        <v>39</v>
      </c>
      <c r="Q398" t="s">
        <v>26</v>
      </c>
      <c r="R398">
        <f>IF(subscriptions[[#This Row],[churned]]="Yes",1,0)</f>
        <v>1</v>
      </c>
      <c r="S398">
        <f ca="1">IF(subscriptions[[#This Row],[churn_flag]]=1, DATEDIF(subscriptions[[#This Row],[signup_date]],subscriptions[[#This Row],[churn_date]],"M"), DATEDIF(subscriptions[[#This Row],[signup_date]],TODAY(),"M"))</f>
        <v>2</v>
      </c>
      <c r="T398">
        <f ca="1">subscriptions[[#This Row],[monthly_revenue]]*subscriptions[[#This Row],[customer_lifetime]]</f>
        <v>78.88</v>
      </c>
      <c r="U398" t="str">
        <f>IF(subscriptions[[#This Row],[feature_usage_pct]]&lt;30,"High Risk",IF(subscriptions[[#This Row],[feature_usage_pct]]&lt;60,"Medium Risk","Low Risk"))</f>
        <v>Medium Risk</v>
      </c>
      <c r="V398">
        <f ca="1">subscriptions[[#This Row],[CLV]]/200</f>
        <v>0.39439999999999997</v>
      </c>
    </row>
    <row r="399" spans="1:22" x14ac:dyDescent="0.25">
      <c r="A399" t="s">
        <v>452</v>
      </c>
      <c r="B399" t="s">
        <v>36</v>
      </c>
      <c r="C399" t="s">
        <v>28</v>
      </c>
      <c r="D399" t="s">
        <v>32</v>
      </c>
      <c r="E399" s="2" t="s">
        <v>33</v>
      </c>
      <c r="F399">
        <v>252</v>
      </c>
      <c r="G399">
        <v>6537.65</v>
      </c>
      <c r="H399" t="s">
        <v>22</v>
      </c>
      <c r="I399" t="s">
        <v>23</v>
      </c>
      <c r="J399" s="1">
        <v>45044</v>
      </c>
      <c r="K399" t="s">
        <v>24</v>
      </c>
      <c r="L399" s="1">
        <v>45068</v>
      </c>
      <c r="M399" t="s">
        <v>25</v>
      </c>
      <c r="N399">
        <v>9</v>
      </c>
      <c r="O399">
        <v>6</v>
      </c>
      <c r="P399">
        <v>44</v>
      </c>
      <c r="Q399" t="s">
        <v>26</v>
      </c>
      <c r="R399">
        <f>IF(subscriptions[[#This Row],[churned]]="Yes",1,0)</f>
        <v>1</v>
      </c>
      <c r="S399">
        <f ca="1">IF(subscriptions[[#This Row],[churn_flag]]=1, DATEDIF(subscriptions[[#This Row],[signup_date]],subscriptions[[#This Row],[churn_date]],"M"), DATEDIF(subscriptions[[#This Row],[signup_date]],TODAY(),"M"))</f>
        <v>0</v>
      </c>
      <c r="T399">
        <f ca="1">subscriptions[[#This Row],[monthly_revenue]]*subscriptions[[#This Row],[customer_lifetime]]</f>
        <v>0</v>
      </c>
      <c r="U399" t="str">
        <f>IF(subscriptions[[#This Row],[feature_usage_pct]]&lt;30,"High Risk",IF(subscriptions[[#This Row],[feature_usage_pct]]&lt;60,"Medium Risk","Low Risk"))</f>
        <v>Medium Risk</v>
      </c>
      <c r="V399">
        <f ca="1">subscriptions[[#This Row],[CLV]]/200</f>
        <v>0</v>
      </c>
    </row>
    <row r="400" spans="1:22" x14ac:dyDescent="0.25">
      <c r="A400" t="s">
        <v>453</v>
      </c>
      <c r="B400" t="s">
        <v>36</v>
      </c>
      <c r="C400" t="s">
        <v>28</v>
      </c>
      <c r="D400" t="s">
        <v>37</v>
      </c>
      <c r="E400" s="2" t="s">
        <v>45</v>
      </c>
      <c r="F400">
        <v>86</v>
      </c>
      <c r="G400">
        <v>2325.81</v>
      </c>
      <c r="H400" t="s">
        <v>60</v>
      </c>
      <c r="I400" t="s">
        <v>23</v>
      </c>
      <c r="J400" s="1">
        <v>45209</v>
      </c>
      <c r="K400" t="s">
        <v>24</v>
      </c>
      <c r="L400" s="1">
        <v>45984</v>
      </c>
      <c r="M400" t="s">
        <v>50</v>
      </c>
      <c r="N400">
        <v>0</v>
      </c>
      <c r="O400">
        <v>2</v>
      </c>
      <c r="P400">
        <v>11</v>
      </c>
      <c r="Q400" t="s">
        <v>26</v>
      </c>
      <c r="R400">
        <f>IF(subscriptions[[#This Row],[churned]]="Yes",1,0)</f>
        <v>1</v>
      </c>
      <c r="S400">
        <f ca="1">IF(subscriptions[[#This Row],[churn_flag]]=1, DATEDIF(subscriptions[[#This Row],[signup_date]],subscriptions[[#This Row],[churn_date]],"M"), DATEDIF(subscriptions[[#This Row],[signup_date]],TODAY(),"M"))</f>
        <v>25</v>
      </c>
      <c r="T400">
        <f ca="1">subscriptions[[#This Row],[monthly_revenue]]*subscriptions[[#This Row],[customer_lifetime]]</f>
        <v>58145.25</v>
      </c>
      <c r="U400" t="str">
        <f>IF(subscriptions[[#This Row],[feature_usage_pct]]&lt;30,"High Risk",IF(subscriptions[[#This Row],[feature_usage_pct]]&lt;60,"Medium Risk","Low Risk"))</f>
        <v>High Risk</v>
      </c>
      <c r="V400">
        <f ca="1">subscriptions[[#This Row],[CLV]]/200</f>
        <v>290.72624999999999</v>
      </c>
    </row>
    <row r="401" spans="1:22" x14ac:dyDescent="0.25">
      <c r="A401" t="s">
        <v>454</v>
      </c>
      <c r="B401" t="s">
        <v>31</v>
      </c>
      <c r="C401" t="s">
        <v>28</v>
      </c>
      <c r="D401" t="s">
        <v>62</v>
      </c>
      <c r="E401" s="2" t="s">
        <v>664</v>
      </c>
      <c r="F401">
        <v>5</v>
      </c>
      <c r="G401">
        <v>39.44</v>
      </c>
      <c r="H401" t="s">
        <v>34</v>
      </c>
      <c r="I401" t="s">
        <v>23</v>
      </c>
      <c r="J401" s="1">
        <v>44771</v>
      </c>
      <c r="K401" t="s">
        <v>24</v>
      </c>
      <c r="L401" s="1">
        <v>45492</v>
      </c>
      <c r="M401" t="s">
        <v>53</v>
      </c>
      <c r="N401">
        <v>3</v>
      </c>
      <c r="O401">
        <v>1</v>
      </c>
      <c r="P401">
        <v>34</v>
      </c>
      <c r="Q401" t="s">
        <v>26</v>
      </c>
      <c r="R401">
        <f>IF(subscriptions[[#This Row],[churned]]="Yes",1,0)</f>
        <v>1</v>
      </c>
      <c r="S401">
        <f ca="1">IF(subscriptions[[#This Row],[churn_flag]]=1, DATEDIF(subscriptions[[#This Row],[signup_date]],subscriptions[[#This Row],[churn_date]],"M"), DATEDIF(subscriptions[[#This Row],[signup_date]],TODAY(),"M"))</f>
        <v>23</v>
      </c>
      <c r="T401">
        <f ca="1">subscriptions[[#This Row],[monthly_revenue]]*subscriptions[[#This Row],[customer_lifetime]]</f>
        <v>907.11999999999989</v>
      </c>
      <c r="U401" t="str">
        <f>IF(subscriptions[[#This Row],[feature_usage_pct]]&lt;30,"High Risk",IF(subscriptions[[#This Row],[feature_usage_pct]]&lt;60,"Medium Risk","Low Risk"))</f>
        <v>Medium Risk</v>
      </c>
      <c r="V401">
        <f ca="1">subscriptions[[#This Row],[CLV]]/200</f>
        <v>4.5355999999999996</v>
      </c>
    </row>
    <row r="402" spans="1:22" x14ac:dyDescent="0.25">
      <c r="A402" t="s">
        <v>455</v>
      </c>
      <c r="B402" t="s">
        <v>36</v>
      </c>
      <c r="C402" t="s">
        <v>28</v>
      </c>
      <c r="D402" t="s">
        <v>52</v>
      </c>
      <c r="E402" s="2" t="s">
        <v>664</v>
      </c>
      <c r="F402">
        <v>7</v>
      </c>
      <c r="G402">
        <v>321.38</v>
      </c>
      <c r="H402" t="s">
        <v>22</v>
      </c>
      <c r="I402" t="s">
        <v>23</v>
      </c>
      <c r="J402" s="1">
        <v>45602</v>
      </c>
      <c r="K402" t="s">
        <v>26</v>
      </c>
      <c r="N402">
        <v>9</v>
      </c>
      <c r="O402">
        <v>9</v>
      </c>
      <c r="P402">
        <v>30</v>
      </c>
      <c r="Q402" t="s">
        <v>26</v>
      </c>
      <c r="R402">
        <f>IF(subscriptions[[#This Row],[churned]]="Yes",1,0)</f>
        <v>0</v>
      </c>
      <c r="S402">
        <f ca="1">IF(subscriptions[[#This Row],[churn_flag]]=1, DATEDIF(subscriptions[[#This Row],[signup_date]],subscriptions[[#This Row],[churn_date]],"M"), DATEDIF(subscriptions[[#This Row],[signup_date]],TODAY(),"M"))</f>
        <v>18</v>
      </c>
      <c r="T402">
        <f ca="1">subscriptions[[#This Row],[monthly_revenue]]*subscriptions[[#This Row],[customer_lifetime]]</f>
        <v>5784.84</v>
      </c>
      <c r="U402" t="str">
        <f>IF(subscriptions[[#This Row],[feature_usage_pct]]&lt;30,"High Risk",IF(subscriptions[[#This Row],[feature_usage_pct]]&lt;60,"Medium Risk","Low Risk"))</f>
        <v>Medium Risk</v>
      </c>
      <c r="V402">
        <f ca="1">subscriptions[[#This Row],[CLV]]/200</f>
        <v>28.924199999999999</v>
      </c>
    </row>
    <row r="403" spans="1:22" x14ac:dyDescent="0.25">
      <c r="A403" t="s">
        <v>456</v>
      </c>
      <c r="B403" t="s">
        <v>18</v>
      </c>
      <c r="C403" t="s">
        <v>28</v>
      </c>
      <c r="D403" t="s">
        <v>49</v>
      </c>
      <c r="E403" s="2" t="s">
        <v>21</v>
      </c>
      <c r="F403">
        <v>34</v>
      </c>
      <c r="G403">
        <v>399.54</v>
      </c>
      <c r="H403" t="s">
        <v>43</v>
      </c>
      <c r="I403" t="s">
        <v>38</v>
      </c>
      <c r="J403" s="1">
        <v>44655</v>
      </c>
      <c r="K403" t="s">
        <v>24</v>
      </c>
      <c r="L403" s="1">
        <v>45528</v>
      </c>
      <c r="M403" t="s">
        <v>56</v>
      </c>
      <c r="N403">
        <v>14</v>
      </c>
      <c r="O403">
        <v>1</v>
      </c>
      <c r="P403">
        <v>34</v>
      </c>
      <c r="Q403" t="s">
        <v>26</v>
      </c>
      <c r="R403">
        <f>IF(subscriptions[[#This Row],[churned]]="Yes",1,0)</f>
        <v>1</v>
      </c>
      <c r="S403">
        <f ca="1">IF(subscriptions[[#This Row],[churn_flag]]=1, DATEDIF(subscriptions[[#This Row],[signup_date]],subscriptions[[#This Row],[churn_date]],"M"), DATEDIF(subscriptions[[#This Row],[signup_date]],TODAY(),"M"))</f>
        <v>28</v>
      </c>
      <c r="T403">
        <f ca="1">subscriptions[[#This Row],[monthly_revenue]]*subscriptions[[#This Row],[customer_lifetime]]</f>
        <v>11187.12</v>
      </c>
      <c r="U403" t="str">
        <f>IF(subscriptions[[#This Row],[feature_usage_pct]]&lt;30,"High Risk",IF(subscriptions[[#This Row],[feature_usage_pct]]&lt;60,"Medium Risk","Low Risk"))</f>
        <v>Medium Risk</v>
      </c>
      <c r="V403">
        <f ca="1">subscriptions[[#This Row],[CLV]]/200</f>
        <v>55.935600000000001</v>
      </c>
    </row>
    <row r="404" spans="1:22" x14ac:dyDescent="0.25">
      <c r="A404" t="s">
        <v>457</v>
      </c>
      <c r="B404" t="s">
        <v>36</v>
      </c>
      <c r="C404" t="s">
        <v>19</v>
      </c>
      <c r="D404" t="s">
        <v>79</v>
      </c>
      <c r="E404" s="2" t="s">
        <v>664</v>
      </c>
      <c r="F404">
        <v>8</v>
      </c>
      <c r="G404">
        <v>407.95</v>
      </c>
      <c r="H404" t="s">
        <v>22</v>
      </c>
      <c r="I404" t="s">
        <v>23</v>
      </c>
      <c r="J404" s="1">
        <v>44948</v>
      </c>
      <c r="K404" t="s">
        <v>24</v>
      </c>
      <c r="L404" s="1">
        <v>45531</v>
      </c>
      <c r="M404" t="s">
        <v>46</v>
      </c>
      <c r="N404">
        <v>13</v>
      </c>
      <c r="O404">
        <v>5</v>
      </c>
      <c r="P404">
        <v>25</v>
      </c>
      <c r="Q404" t="s">
        <v>26</v>
      </c>
      <c r="R404">
        <f>IF(subscriptions[[#This Row],[churned]]="Yes",1,0)</f>
        <v>1</v>
      </c>
      <c r="S404">
        <f ca="1">IF(subscriptions[[#This Row],[churn_flag]]=1, DATEDIF(subscriptions[[#This Row],[signup_date]],subscriptions[[#This Row],[churn_date]],"M"), DATEDIF(subscriptions[[#This Row],[signup_date]],TODAY(),"M"))</f>
        <v>19</v>
      </c>
      <c r="T404">
        <f ca="1">subscriptions[[#This Row],[monthly_revenue]]*subscriptions[[#This Row],[customer_lifetime]]</f>
        <v>7751.05</v>
      </c>
      <c r="U404" t="str">
        <f>IF(subscriptions[[#This Row],[feature_usage_pct]]&lt;30,"High Risk",IF(subscriptions[[#This Row],[feature_usage_pct]]&lt;60,"Medium Risk","Low Risk"))</f>
        <v>High Risk</v>
      </c>
      <c r="V404">
        <f ca="1">subscriptions[[#This Row],[CLV]]/200</f>
        <v>38.755250000000004</v>
      </c>
    </row>
    <row r="405" spans="1:22" x14ac:dyDescent="0.25">
      <c r="A405" t="s">
        <v>458</v>
      </c>
      <c r="B405" t="s">
        <v>36</v>
      </c>
      <c r="C405" t="s">
        <v>19</v>
      </c>
      <c r="D405" t="s">
        <v>52</v>
      </c>
      <c r="E405" s="2" t="s">
        <v>21</v>
      </c>
      <c r="F405">
        <v>43</v>
      </c>
      <c r="G405">
        <v>1452.7</v>
      </c>
      <c r="H405" t="s">
        <v>34</v>
      </c>
      <c r="I405" t="s">
        <v>23</v>
      </c>
      <c r="J405" s="1">
        <v>45925</v>
      </c>
      <c r="K405" t="s">
        <v>26</v>
      </c>
      <c r="N405">
        <v>4</v>
      </c>
      <c r="O405">
        <v>5</v>
      </c>
      <c r="P405">
        <v>79</v>
      </c>
      <c r="Q405" t="s">
        <v>26</v>
      </c>
      <c r="R405">
        <f>IF(subscriptions[[#This Row],[churned]]="Yes",1,0)</f>
        <v>0</v>
      </c>
      <c r="S405">
        <f ca="1">IF(subscriptions[[#This Row],[churn_flag]]=1, DATEDIF(subscriptions[[#This Row],[signup_date]],subscriptions[[#This Row],[churn_date]],"M"), DATEDIF(subscriptions[[#This Row],[signup_date]],TODAY(),"M"))</f>
        <v>7</v>
      </c>
      <c r="T405">
        <f ca="1">subscriptions[[#This Row],[monthly_revenue]]*subscriptions[[#This Row],[customer_lifetime]]</f>
        <v>10168.9</v>
      </c>
      <c r="U405" t="str">
        <f>IF(subscriptions[[#This Row],[feature_usage_pct]]&lt;30,"High Risk",IF(subscriptions[[#This Row],[feature_usage_pct]]&lt;60,"Medium Risk","Low Risk"))</f>
        <v>Low Risk</v>
      </c>
      <c r="V405">
        <f ca="1">subscriptions[[#This Row],[CLV]]/200</f>
        <v>50.844499999999996</v>
      </c>
    </row>
    <row r="406" spans="1:22" x14ac:dyDescent="0.25">
      <c r="A406" t="s">
        <v>459</v>
      </c>
      <c r="B406" t="s">
        <v>36</v>
      </c>
      <c r="C406" t="s">
        <v>19</v>
      </c>
      <c r="D406" t="s">
        <v>40</v>
      </c>
      <c r="E406" s="2" t="s">
        <v>663</v>
      </c>
      <c r="F406">
        <v>7</v>
      </c>
      <c r="G406">
        <v>378.1</v>
      </c>
      <c r="H406" t="s">
        <v>60</v>
      </c>
      <c r="I406" t="s">
        <v>23</v>
      </c>
      <c r="J406" s="1">
        <v>45711</v>
      </c>
      <c r="K406" t="s">
        <v>26</v>
      </c>
      <c r="N406">
        <v>11</v>
      </c>
      <c r="O406">
        <v>1</v>
      </c>
      <c r="P406">
        <v>29</v>
      </c>
      <c r="Q406" t="s">
        <v>24</v>
      </c>
      <c r="R406">
        <f>IF(subscriptions[[#This Row],[churned]]="Yes",1,0)</f>
        <v>0</v>
      </c>
      <c r="S406">
        <f ca="1">IF(subscriptions[[#This Row],[churn_flag]]=1, DATEDIF(subscriptions[[#This Row],[signup_date]],subscriptions[[#This Row],[churn_date]],"M"), DATEDIF(subscriptions[[#This Row],[signup_date]],TODAY(),"M"))</f>
        <v>14</v>
      </c>
      <c r="T406">
        <f ca="1">subscriptions[[#This Row],[monthly_revenue]]*subscriptions[[#This Row],[customer_lifetime]]</f>
        <v>5293.4000000000005</v>
      </c>
      <c r="U406" t="str">
        <f>IF(subscriptions[[#This Row],[feature_usage_pct]]&lt;30,"High Risk",IF(subscriptions[[#This Row],[feature_usage_pct]]&lt;60,"Medium Risk","Low Risk"))</f>
        <v>High Risk</v>
      </c>
      <c r="V406">
        <f ca="1">subscriptions[[#This Row],[CLV]]/200</f>
        <v>26.467000000000002</v>
      </c>
    </row>
    <row r="407" spans="1:22" x14ac:dyDescent="0.25">
      <c r="A407" t="s">
        <v>460</v>
      </c>
      <c r="B407" t="s">
        <v>36</v>
      </c>
      <c r="C407" t="s">
        <v>19</v>
      </c>
      <c r="D407" t="s">
        <v>20</v>
      </c>
      <c r="E407" s="2" t="s">
        <v>21</v>
      </c>
      <c r="F407">
        <v>29</v>
      </c>
      <c r="G407">
        <v>1034.8</v>
      </c>
      <c r="H407" t="s">
        <v>29</v>
      </c>
      <c r="I407" t="s">
        <v>23</v>
      </c>
      <c r="J407" s="1">
        <v>44979</v>
      </c>
      <c r="K407" t="s">
        <v>24</v>
      </c>
      <c r="L407" s="1">
        <v>45929</v>
      </c>
      <c r="M407" t="s">
        <v>82</v>
      </c>
      <c r="N407">
        <v>14</v>
      </c>
      <c r="O407">
        <v>4</v>
      </c>
      <c r="P407">
        <v>41</v>
      </c>
      <c r="Q407" t="s">
        <v>26</v>
      </c>
      <c r="R407">
        <f>IF(subscriptions[[#This Row],[churned]]="Yes",1,0)</f>
        <v>1</v>
      </c>
      <c r="S407">
        <f ca="1">IF(subscriptions[[#This Row],[churn_flag]]=1, DATEDIF(subscriptions[[#This Row],[signup_date]],subscriptions[[#This Row],[churn_date]],"M"), DATEDIF(subscriptions[[#This Row],[signup_date]],TODAY(),"M"))</f>
        <v>31</v>
      </c>
      <c r="T407">
        <f ca="1">subscriptions[[#This Row],[monthly_revenue]]*subscriptions[[#This Row],[customer_lifetime]]</f>
        <v>32078.799999999999</v>
      </c>
      <c r="U407" t="str">
        <f>IF(subscriptions[[#This Row],[feature_usage_pct]]&lt;30,"High Risk",IF(subscriptions[[#This Row],[feature_usage_pct]]&lt;60,"Medium Risk","Low Risk"))</f>
        <v>Medium Risk</v>
      </c>
      <c r="V407">
        <f ca="1">subscriptions[[#This Row],[CLV]]/200</f>
        <v>160.39400000000001</v>
      </c>
    </row>
    <row r="408" spans="1:22" x14ac:dyDescent="0.25">
      <c r="A408" t="s">
        <v>461</v>
      </c>
      <c r="B408" t="s">
        <v>18</v>
      </c>
      <c r="C408" t="s">
        <v>28</v>
      </c>
      <c r="D408" t="s">
        <v>79</v>
      </c>
      <c r="E408" s="2" t="s">
        <v>33</v>
      </c>
      <c r="F408">
        <v>115</v>
      </c>
      <c r="G408">
        <v>1215.4100000000001</v>
      </c>
      <c r="H408" t="s">
        <v>43</v>
      </c>
      <c r="I408" t="s">
        <v>38</v>
      </c>
      <c r="J408" s="1">
        <v>44816</v>
      </c>
      <c r="K408" t="s">
        <v>24</v>
      </c>
      <c r="L408" s="1">
        <v>45019</v>
      </c>
      <c r="M408" t="s">
        <v>82</v>
      </c>
      <c r="N408">
        <v>7</v>
      </c>
      <c r="O408">
        <v>4</v>
      </c>
      <c r="P408">
        <v>48</v>
      </c>
      <c r="Q408" t="s">
        <v>26</v>
      </c>
      <c r="R408">
        <f>IF(subscriptions[[#This Row],[churned]]="Yes",1,0)</f>
        <v>1</v>
      </c>
      <c r="S408">
        <f ca="1">IF(subscriptions[[#This Row],[churn_flag]]=1, DATEDIF(subscriptions[[#This Row],[signup_date]],subscriptions[[#This Row],[churn_date]],"M"), DATEDIF(subscriptions[[#This Row],[signup_date]],TODAY(),"M"))</f>
        <v>6</v>
      </c>
      <c r="T408">
        <f ca="1">subscriptions[[#This Row],[monthly_revenue]]*subscriptions[[#This Row],[customer_lifetime]]</f>
        <v>7292.4600000000009</v>
      </c>
      <c r="U408" t="str">
        <f>IF(subscriptions[[#This Row],[feature_usage_pct]]&lt;30,"High Risk",IF(subscriptions[[#This Row],[feature_usage_pct]]&lt;60,"Medium Risk","Low Risk"))</f>
        <v>Medium Risk</v>
      </c>
      <c r="V408">
        <f ca="1">subscriptions[[#This Row],[CLV]]/200</f>
        <v>36.462300000000006</v>
      </c>
    </row>
    <row r="409" spans="1:22" x14ac:dyDescent="0.25">
      <c r="A409" t="s">
        <v>462</v>
      </c>
      <c r="B409" t="s">
        <v>31</v>
      </c>
      <c r="C409" t="s">
        <v>19</v>
      </c>
      <c r="D409" t="s">
        <v>32</v>
      </c>
      <c r="E409" s="2" t="s">
        <v>21</v>
      </c>
      <c r="F409">
        <v>75</v>
      </c>
      <c r="G409">
        <v>350.9</v>
      </c>
      <c r="H409" t="s">
        <v>60</v>
      </c>
      <c r="I409" t="s">
        <v>23</v>
      </c>
      <c r="J409" s="1">
        <v>45944</v>
      </c>
      <c r="K409" t="s">
        <v>26</v>
      </c>
      <c r="N409">
        <v>10</v>
      </c>
      <c r="O409">
        <v>8</v>
      </c>
      <c r="P409">
        <v>92</v>
      </c>
      <c r="Q409" t="s">
        <v>26</v>
      </c>
      <c r="R409">
        <f>IF(subscriptions[[#This Row],[churned]]="Yes",1,0)</f>
        <v>0</v>
      </c>
      <c r="S409">
        <f ca="1">IF(subscriptions[[#This Row],[churn_flag]]=1, DATEDIF(subscriptions[[#This Row],[signup_date]],subscriptions[[#This Row],[churn_date]],"M"), DATEDIF(subscriptions[[#This Row],[signup_date]],TODAY(),"M"))</f>
        <v>6</v>
      </c>
      <c r="T409">
        <f ca="1">subscriptions[[#This Row],[monthly_revenue]]*subscriptions[[#This Row],[customer_lifetime]]</f>
        <v>2105.3999999999996</v>
      </c>
      <c r="U409" t="str">
        <f>IF(subscriptions[[#This Row],[feature_usage_pct]]&lt;30,"High Risk",IF(subscriptions[[#This Row],[feature_usage_pct]]&lt;60,"Medium Risk","Low Risk"))</f>
        <v>Low Risk</v>
      </c>
      <c r="V409">
        <f ca="1">subscriptions[[#This Row],[CLV]]/200</f>
        <v>10.526999999999997</v>
      </c>
    </row>
    <row r="410" spans="1:22" x14ac:dyDescent="0.25">
      <c r="A410" t="s">
        <v>463</v>
      </c>
      <c r="B410" t="s">
        <v>31</v>
      </c>
      <c r="C410" t="s">
        <v>19</v>
      </c>
      <c r="D410" t="s">
        <v>40</v>
      </c>
      <c r="E410" s="2" t="s">
        <v>664</v>
      </c>
      <c r="F410">
        <v>8</v>
      </c>
      <c r="G410">
        <v>59.45</v>
      </c>
      <c r="H410" t="s">
        <v>43</v>
      </c>
      <c r="I410" t="s">
        <v>23</v>
      </c>
      <c r="J410" s="1">
        <v>45748</v>
      </c>
      <c r="K410" t="s">
        <v>24</v>
      </c>
      <c r="L410" s="1">
        <v>45766</v>
      </c>
      <c r="M410" t="s">
        <v>46</v>
      </c>
      <c r="N410">
        <v>11</v>
      </c>
      <c r="O410">
        <v>2</v>
      </c>
      <c r="P410">
        <v>27</v>
      </c>
      <c r="Q410" t="s">
        <v>26</v>
      </c>
      <c r="R410">
        <f>IF(subscriptions[[#This Row],[churned]]="Yes",1,0)</f>
        <v>1</v>
      </c>
      <c r="S410">
        <f ca="1">IF(subscriptions[[#This Row],[churn_flag]]=1, DATEDIF(subscriptions[[#This Row],[signup_date]],subscriptions[[#This Row],[churn_date]],"M"), DATEDIF(subscriptions[[#This Row],[signup_date]],TODAY(),"M"))</f>
        <v>0</v>
      </c>
      <c r="T410">
        <f ca="1">subscriptions[[#This Row],[monthly_revenue]]*subscriptions[[#This Row],[customer_lifetime]]</f>
        <v>0</v>
      </c>
      <c r="U410" t="str">
        <f>IF(subscriptions[[#This Row],[feature_usage_pct]]&lt;30,"High Risk",IF(subscriptions[[#This Row],[feature_usage_pct]]&lt;60,"Medium Risk","Low Risk"))</f>
        <v>High Risk</v>
      </c>
      <c r="V410">
        <f ca="1">subscriptions[[#This Row],[CLV]]/200</f>
        <v>0</v>
      </c>
    </row>
    <row r="411" spans="1:22" x14ac:dyDescent="0.25">
      <c r="A411" t="s">
        <v>464</v>
      </c>
      <c r="B411" t="s">
        <v>18</v>
      </c>
      <c r="C411" t="s">
        <v>19</v>
      </c>
      <c r="D411" t="s">
        <v>68</v>
      </c>
      <c r="E411" s="2" t="s">
        <v>45</v>
      </c>
      <c r="F411">
        <v>125</v>
      </c>
      <c r="G411">
        <v>1548.4</v>
      </c>
      <c r="H411" t="s">
        <v>43</v>
      </c>
      <c r="I411" t="s">
        <v>23</v>
      </c>
      <c r="J411" s="1">
        <v>44637</v>
      </c>
      <c r="K411" t="s">
        <v>24</v>
      </c>
      <c r="L411" s="1">
        <v>45096</v>
      </c>
      <c r="M411" t="s">
        <v>25</v>
      </c>
      <c r="N411">
        <v>14</v>
      </c>
      <c r="O411">
        <v>4</v>
      </c>
      <c r="P411">
        <v>12</v>
      </c>
      <c r="Q411" t="s">
        <v>26</v>
      </c>
      <c r="R411">
        <f>IF(subscriptions[[#This Row],[churned]]="Yes",1,0)</f>
        <v>1</v>
      </c>
      <c r="S411">
        <f ca="1">IF(subscriptions[[#This Row],[churn_flag]]=1, DATEDIF(subscriptions[[#This Row],[signup_date]],subscriptions[[#This Row],[churn_date]],"M"), DATEDIF(subscriptions[[#This Row],[signup_date]],TODAY(),"M"))</f>
        <v>15</v>
      </c>
      <c r="T411">
        <f ca="1">subscriptions[[#This Row],[monthly_revenue]]*subscriptions[[#This Row],[customer_lifetime]]</f>
        <v>23226</v>
      </c>
      <c r="U411" t="str">
        <f>IF(subscriptions[[#This Row],[feature_usage_pct]]&lt;30,"High Risk",IF(subscriptions[[#This Row],[feature_usage_pct]]&lt;60,"Medium Risk","Low Risk"))</f>
        <v>High Risk</v>
      </c>
      <c r="V411">
        <f ca="1">subscriptions[[#This Row],[CLV]]/200</f>
        <v>116.13</v>
      </c>
    </row>
    <row r="412" spans="1:22" x14ac:dyDescent="0.25">
      <c r="A412" t="s">
        <v>465</v>
      </c>
      <c r="B412" t="s">
        <v>18</v>
      </c>
      <c r="C412" t="s">
        <v>19</v>
      </c>
      <c r="D412" t="s">
        <v>32</v>
      </c>
      <c r="E412" s="2" t="s">
        <v>45</v>
      </c>
      <c r="F412">
        <v>92</v>
      </c>
      <c r="G412">
        <v>1157.3499999999999</v>
      </c>
      <c r="H412" t="s">
        <v>60</v>
      </c>
      <c r="I412" t="s">
        <v>38</v>
      </c>
      <c r="J412" s="1">
        <v>45532</v>
      </c>
      <c r="K412" t="s">
        <v>24</v>
      </c>
      <c r="L412" s="1">
        <v>45932</v>
      </c>
      <c r="M412" t="s">
        <v>25</v>
      </c>
      <c r="N412">
        <v>13</v>
      </c>
      <c r="O412">
        <v>1</v>
      </c>
      <c r="P412">
        <v>18</v>
      </c>
      <c r="Q412" t="s">
        <v>26</v>
      </c>
      <c r="R412">
        <f>IF(subscriptions[[#This Row],[churned]]="Yes",1,0)</f>
        <v>1</v>
      </c>
      <c r="S412">
        <f ca="1">IF(subscriptions[[#This Row],[churn_flag]]=1, DATEDIF(subscriptions[[#This Row],[signup_date]],subscriptions[[#This Row],[churn_date]],"M"), DATEDIF(subscriptions[[#This Row],[signup_date]],TODAY(),"M"))</f>
        <v>13</v>
      </c>
      <c r="T412">
        <f ca="1">subscriptions[[#This Row],[monthly_revenue]]*subscriptions[[#This Row],[customer_lifetime]]</f>
        <v>15045.55</v>
      </c>
      <c r="U412" t="str">
        <f>IF(subscriptions[[#This Row],[feature_usage_pct]]&lt;30,"High Risk",IF(subscriptions[[#This Row],[feature_usage_pct]]&lt;60,"Medium Risk","Low Risk"))</f>
        <v>High Risk</v>
      </c>
      <c r="V412">
        <f ca="1">subscriptions[[#This Row],[CLV]]/200</f>
        <v>75.22775</v>
      </c>
    </row>
    <row r="413" spans="1:22" x14ac:dyDescent="0.25">
      <c r="A413" t="s">
        <v>466</v>
      </c>
      <c r="B413" t="s">
        <v>18</v>
      </c>
      <c r="C413" t="s">
        <v>19</v>
      </c>
      <c r="D413" t="s">
        <v>52</v>
      </c>
      <c r="E413" s="2" t="s">
        <v>21</v>
      </c>
      <c r="F413">
        <v>45</v>
      </c>
      <c r="G413">
        <v>600.4</v>
      </c>
      <c r="H413" t="s">
        <v>60</v>
      </c>
      <c r="I413" t="s">
        <v>23</v>
      </c>
      <c r="J413" s="1">
        <v>44890</v>
      </c>
      <c r="K413" t="s">
        <v>24</v>
      </c>
      <c r="L413" s="1">
        <v>45071</v>
      </c>
      <c r="M413" t="s">
        <v>63</v>
      </c>
      <c r="N413">
        <v>8</v>
      </c>
      <c r="O413">
        <v>4</v>
      </c>
      <c r="P413">
        <v>24</v>
      </c>
      <c r="Q413" t="s">
        <v>26</v>
      </c>
      <c r="R413">
        <f>IF(subscriptions[[#This Row],[churned]]="Yes",1,0)</f>
        <v>1</v>
      </c>
      <c r="S413">
        <f ca="1">IF(subscriptions[[#This Row],[churn_flag]]=1, DATEDIF(subscriptions[[#This Row],[signup_date]],subscriptions[[#This Row],[churn_date]],"M"), DATEDIF(subscriptions[[#This Row],[signup_date]],TODAY(),"M"))</f>
        <v>6</v>
      </c>
      <c r="T413">
        <f ca="1">subscriptions[[#This Row],[monthly_revenue]]*subscriptions[[#This Row],[customer_lifetime]]</f>
        <v>3602.3999999999996</v>
      </c>
      <c r="U413" t="str">
        <f>IF(subscriptions[[#This Row],[feature_usage_pct]]&lt;30,"High Risk",IF(subscriptions[[#This Row],[feature_usage_pct]]&lt;60,"Medium Risk","Low Risk"))</f>
        <v>High Risk</v>
      </c>
      <c r="V413">
        <f ca="1">subscriptions[[#This Row],[CLV]]/200</f>
        <v>18.011999999999997</v>
      </c>
    </row>
    <row r="414" spans="1:22" x14ac:dyDescent="0.25">
      <c r="A414" t="s">
        <v>467</v>
      </c>
      <c r="B414" t="s">
        <v>36</v>
      </c>
      <c r="C414" t="s">
        <v>28</v>
      </c>
      <c r="D414" t="s">
        <v>37</v>
      </c>
      <c r="E414" s="2" t="s">
        <v>45</v>
      </c>
      <c r="F414">
        <v>49</v>
      </c>
      <c r="G414">
        <v>1387.03</v>
      </c>
      <c r="H414" t="s">
        <v>34</v>
      </c>
      <c r="I414" t="s">
        <v>55</v>
      </c>
      <c r="J414" s="1">
        <v>44847</v>
      </c>
      <c r="K414" t="s">
        <v>26</v>
      </c>
      <c r="N414">
        <v>0</v>
      </c>
      <c r="O414">
        <v>9</v>
      </c>
      <c r="P414">
        <v>95</v>
      </c>
      <c r="Q414" t="s">
        <v>26</v>
      </c>
      <c r="R414">
        <f>IF(subscriptions[[#This Row],[churned]]="Yes",1,0)</f>
        <v>0</v>
      </c>
      <c r="S414">
        <f ca="1">IF(subscriptions[[#This Row],[churn_flag]]=1, DATEDIF(subscriptions[[#This Row],[signup_date]],subscriptions[[#This Row],[churn_date]],"M"), DATEDIF(subscriptions[[#This Row],[signup_date]],TODAY(),"M"))</f>
        <v>43</v>
      </c>
      <c r="T414">
        <f ca="1">subscriptions[[#This Row],[monthly_revenue]]*subscriptions[[#This Row],[customer_lifetime]]</f>
        <v>59642.29</v>
      </c>
      <c r="U414" t="str">
        <f>IF(subscriptions[[#This Row],[feature_usage_pct]]&lt;30,"High Risk",IF(subscriptions[[#This Row],[feature_usage_pct]]&lt;60,"Medium Risk","Low Risk"))</f>
        <v>Low Risk</v>
      </c>
      <c r="V414">
        <f ca="1">subscriptions[[#This Row],[CLV]]/200</f>
        <v>298.21145000000001</v>
      </c>
    </row>
    <row r="415" spans="1:22" x14ac:dyDescent="0.25">
      <c r="A415" t="s">
        <v>468</v>
      </c>
      <c r="B415" t="s">
        <v>36</v>
      </c>
      <c r="C415" t="s">
        <v>19</v>
      </c>
      <c r="D415" t="s">
        <v>37</v>
      </c>
      <c r="E415" s="2" t="s">
        <v>45</v>
      </c>
      <c r="F415">
        <v>137</v>
      </c>
      <c r="G415">
        <v>4258.6000000000004</v>
      </c>
      <c r="H415" t="s">
        <v>43</v>
      </c>
      <c r="I415" t="s">
        <v>55</v>
      </c>
      <c r="J415" s="1">
        <v>45130</v>
      </c>
      <c r="K415" t="s">
        <v>24</v>
      </c>
      <c r="L415" s="1">
        <v>45516</v>
      </c>
      <c r="M415" t="s">
        <v>82</v>
      </c>
      <c r="N415">
        <v>15</v>
      </c>
      <c r="O415">
        <v>1</v>
      </c>
      <c r="P415">
        <v>25</v>
      </c>
      <c r="Q415" t="s">
        <v>26</v>
      </c>
      <c r="R415">
        <f>IF(subscriptions[[#This Row],[churned]]="Yes",1,0)</f>
        <v>1</v>
      </c>
      <c r="S415">
        <f ca="1">IF(subscriptions[[#This Row],[churn_flag]]=1, DATEDIF(subscriptions[[#This Row],[signup_date]],subscriptions[[#This Row],[churn_date]],"M"), DATEDIF(subscriptions[[#This Row],[signup_date]],TODAY(),"M"))</f>
        <v>12</v>
      </c>
      <c r="T415">
        <f ca="1">subscriptions[[#This Row],[monthly_revenue]]*subscriptions[[#This Row],[customer_lifetime]]</f>
        <v>51103.200000000004</v>
      </c>
      <c r="U415" t="str">
        <f>IF(subscriptions[[#This Row],[feature_usage_pct]]&lt;30,"High Risk",IF(subscriptions[[#This Row],[feature_usage_pct]]&lt;60,"Medium Risk","Low Risk"))</f>
        <v>High Risk</v>
      </c>
      <c r="V415">
        <f ca="1">subscriptions[[#This Row],[CLV]]/200</f>
        <v>255.51600000000002</v>
      </c>
    </row>
    <row r="416" spans="1:22" x14ac:dyDescent="0.25">
      <c r="A416" t="s">
        <v>469</v>
      </c>
      <c r="B416" t="s">
        <v>31</v>
      </c>
      <c r="C416" t="s">
        <v>19</v>
      </c>
      <c r="D416" t="s">
        <v>20</v>
      </c>
      <c r="E416" s="2" t="s">
        <v>663</v>
      </c>
      <c r="F416">
        <v>13</v>
      </c>
      <c r="G416">
        <v>81.2</v>
      </c>
      <c r="H416" t="s">
        <v>98</v>
      </c>
      <c r="I416" t="s">
        <v>38</v>
      </c>
      <c r="J416" s="1">
        <v>45543</v>
      </c>
      <c r="K416" t="s">
        <v>24</v>
      </c>
      <c r="L416" s="1">
        <v>45580</v>
      </c>
      <c r="M416" t="s">
        <v>50</v>
      </c>
      <c r="N416">
        <v>7</v>
      </c>
      <c r="O416">
        <v>3</v>
      </c>
      <c r="P416">
        <v>45</v>
      </c>
      <c r="Q416" t="s">
        <v>26</v>
      </c>
      <c r="R416">
        <f>IF(subscriptions[[#This Row],[churned]]="Yes",1,0)</f>
        <v>1</v>
      </c>
      <c r="S416">
        <f ca="1">IF(subscriptions[[#This Row],[churn_flag]]=1, DATEDIF(subscriptions[[#This Row],[signup_date]],subscriptions[[#This Row],[churn_date]],"M"), DATEDIF(subscriptions[[#This Row],[signup_date]],TODAY(),"M"))</f>
        <v>1</v>
      </c>
      <c r="T416">
        <f ca="1">subscriptions[[#This Row],[monthly_revenue]]*subscriptions[[#This Row],[customer_lifetime]]</f>
        <v>81.2</v>
      </c>
      <c r="U416" t="str">
        <f>IF(subscriptions[[#This Row],[feature_usage_pct]]&lt;30,"High Risk",IF(subscriptions[[#This Row],[feature_usage_pct]]&lt;60,"Medium Risk","Low Risk"))</f>
        <v>Medium Risk</v>
      </c>
      <c r="V416">
        <f ca="1">subscriptions[[#This Row],[CLV]]/200</f>
        <v>0.40600000000000003</v>
      </c>
    </row>
    <row r="417" spans="1:22" x14ac:dyDescent="0.25">
      <c r="A417" t="s">
        <v>470</v>
      </c>
      <c r="B417" t="s">
        <v>36</v>
      </c>
      <c r="C417" t="s">
        <v>28</v>
      </c>
      <c r="D417" t="s">
        <v>40</v>
      </c>
      <c r="E417" s="2" t="s">
        <v>663</v>
      </c>
      <c r="F417">
        <v>14</v>
      </c>
      <c r="G417">
        <v>498.99</v>
      </c>
      <c r="H417" t="s">
        <v>98</v>
      </c>
      <c r="I417" t="s">
        <v>38</v>
      </c>
      <c r="J417" s="1">
        <v>45706</v>
      </c>
      <c r="K417" t="s">
        <v>24</v>
      </c>
      <c r="L417" s="1">
        <v>45795</v>
      </c>
      <c r="M417" t="s">
        <v>82</v>
      </c>
      <c r="N417">
        <v>13</v>
      </c>
      <c r="O417">
        <v>1</v>
      </c>
      <c r="P417">
        <v>33</v>
      </c>
      <c r="Q417" t="s">
        <v>26</v>
      </c>
      <c r="R417">
        <f>IF(subscriptions[[#This Row],[churned]]="Yes",1,0)</f>
        <v>1</v>
      </c>
      <c r="S417">
        <f ca="1">IF(subscriptions[[#This Row],[churn_flag]]=1, DATEDIF(subscriptions[[#This Row],[signup_date]],subscriptions[[#This Row],[churn_date]],"M"), DATEDIF(subscriptions[[#This Row],[signup_date]],TODAY(),"M"))</f>
        <v>3</v>
      </c>
      <c r="T417">
        <f ca="1">subscriptions[[#This Row],[monthly_revenue]]*subscriptions[[#This Row],[customer_lifetime]]</f>
        <v>1496.97</v>
      </c>
      <c r="U417" t="str">
        <f>IF(subscriptions[[#This Row],[feature_usage_pct]]&lt;30,"High Risk",IF(subscriptions[[#This Row],[feature_usage_pct]]&lt;60,"Medium Risk","Low Risk"))</f>
        <v>Medium Risk</v>
      </c>
      <c r="V417">
        <f ca="1">subscriptions[[#This Row],[CLV]]/200</f>
        <v>7.4848499999999998</v>
      </c>
    </row>
    <row r="418" spans="1:22" x14ac:dyDescent="0.25">
      <c r="A418" t="s">
        <v>471</v>
      </c>
      <c r="B418" t="s">
        <v>31</v>
      </c>
      <c r="C418" t="s">
        <v>28</v>
      </c>
      <c r="D418" t="s">
        <v>37</v>
      </c>
      <c r="E418" s="2" t="s">
        <v>663</v>
      </c>
      <c r="F418">
        <v>18</v>
      </c>
      <c r="G418">
        <v>87.51</v>
      </c>
      <c r="H418" t="s">
        <v>22</v>
      </c>
      <c r="I418" t="s">
        <v>69</v>
      </c>
      <c r="J418" s="1">
        <v>45521</v>
      </c>
      <c r="K418" t="s">
        <v>24</v>
      </c>
      <c r="L418" s="1">
        <v>45595</v>
      </c>
      <c r="M418" t="s">
        <v>25</v>
      </c>
      <c r="N418">
        <v>10</v>
      </c>
      <c r="O418">
        <v>1</v>
      </c>
      <c r="P418">
        <v>36</v>
      </c>
      <c r="Q418" t="s">
        <v>26</v>
      </c>
      <c r="R418">
        <f>IF(subscriptions[[#This Row],[churned]]="Yes",1,0)</f>
        <v>1</v>
      </c>
      <c r="S418">
        <f ca="1">IF(subscriptions[[#This Row],[churn_flag]]=1, DATEDIF(subscriptions[[#This Row],[signup_date]],subscriptions[[#This Row],[churn_date]],"M"), DATEDIF(subscriptions[[#This Row],[signup_date]],TODAY(),"M"))</f>
        <v>2</v>
      </c>
      <c r="T418">
        <f ca="1">subscriptions[[#This Row],[monthly_revenue]]*subscriptions[[#This Row],[customer_lifetime]]</f>
        <v>175.02</v>
      </c>
      <c r="U418" t="str">
        <f>IF(subscriptions[[#This Row],[feature_usage_pct]]&lt;30,"High Risk",IF(subscriptions[[#This Row],[feature_usage_pct]]&lt;60,"Medium Risk","Low Risk"))</f>
        <v>Medium Risk</v>
      </c>
      <c r="V418">
        <f ca="1">subscriptions[[#This Row],[CLV]]/200</f>
        <v>0.8751000000000001</v>
      </c>
    </row>
    <row r="419" spans="1:22" x14ac:dyDescent="0.25">
      <c r="A419" t="s">
        <v>472</v>
      </c>
      <c r="B419" t="s">
        <v>31</v>
      </c>
      <c r="C419" t="s">
        <v>19</v>
      </c>
      <c r="D419" t="s">
        <v>79</v>
      </c>
      <c r="E419" s="2" t="s">
        <v>664</v>
      </c>
      <c r="F419">
        <v>2</v>
      </c>
      <c r="G419">
        <v>33.35</v>
      </c>
      <c r="H419" t="s">
        <v>98</v>
      </c>
      <c r="I419" t="s">
        <v>69</v>
      </c>
      <c r="J419" s="1">
        <v>44839</v>
      </c>
      <c r="K419" t="s">
        <v>24</v>
      </c>
      <c r="L419" s="1">
        <v>45110</v>
      </c>
      <c r="M419" t="s">
        <v>50</v>
      </c>
      <c r="N419">
        <v>11</v>
      </c>
      <c r="O419">
        <v>1</v>
      </c>
      <c r="P419">
        <v>37</v>
      </c>
      <c r="Q419" t="s">
        <v>26</v>
      </c>
      <c r="R419">
        <f>IF(subscriptions[[#This Row],[churned]]="Yes",1,0)</f>
        <v>1</v>
      </c>
      <c r="S419">
        <f ca="1">IF(subscriptions[[#This Row],[churn_flag]]=1, DATEDIF(subscriptions[[#This Row],[signup_date]],subscriptions[[#This Row],[churn_date]],"M"), DATEDIF(subscriptions[[#This Row],[signup_date]],TODAY(),"M"))</f>
        <v>8</v>
      </c>
      <c r="T419">
        <f ca="1">subscriptions[[#This Row],[monthly_revenue]]*subscriptions[[#This Row],[customer_lifetime]]</f>
        <v>266.8</v>
      </c>
      <c r="U419" t="str">
        <f>IF(subscriptions[[#This Row],[feature_usage_pct]]&lt;30,"High Risk",IF(subscriptions[[#This Row],[feature_usage_pct]]&lt;60,"Medium Risk","Low Risk"))</f>
        <v>Medium Risk</v>
      </c>
      <c r="V419">
        <f ca="1">subscriptions[[#This Row],[CLV]]/200</f>
        <v>1.3340000000000001</v>
      </c>
    </row>
    <row r="420" spans="1:22" x14ac:dyDescent="0.25">
      <c r="A420" t="s">
        <v>473</v>
      </c>
      <c r="B420" t="s">
        <v>18</v>
      </c>
      <c r="C420" t="s">
        <v>28</v>
      </c>
      <c r="D420" t="s">
        <v>40</v>
      </c>
      <c r="E420" s="2" t="s">
        <v>45</v>
      </c>
      <c r="F420">
        <v>143</v>
      </c>
      <c r="G420">
        <v>1497.45</v>
      </c>
      <c r="H420" t="s">
        <v>22</v>
      </c>
      <c r="I420" t="s">
        <v>38</v>
      </c>
      <c r="J420" s="1">
        <v>44655</v>
      </c>
      <c r="K420" t="s">
        <v>26</v>
      </c>
      <c r="N420">
        <v>2</v>
      </c>
      <c r="O420">
        <v>9</v>
      </c>
      <c r="P420">
        <v>29</v>
      </c>
      <c r="Q420" t="s">
        <v>24</v>
      </c>
      <c r="R420">
        <f>IF(subscriptions[[#This Row],[churned]]="Yes",1,0)</f>
        <v>0</v>
      </c>
      <c r="S420">
        <f ca="1">IF(subscriptions[[#This Row],[churn_flag]]=1, DATEDIF(subscriptions[[#This Row],[signup_date]],subscriptions[[#This Row],[churn_date]],"M"), DATEDIF(subscriptions[[#This Row],[signup_date]],TODAY(),"M"))</f>
        <v>49</v>
      </c>
      <c r="T420">
        <f ca="1">subscriptions[[#This Row],[monthly_revenue]]*subscriptions[[#This Row],[customer_lifetime]]</f>
        <v>73375.05</v>
      </c>
      <c r="U420" t="str">
        <f>IF(subscriptions[[#This Row],[feature_usage_pct]]&lt;30,"High Risk",IF(subscriptions[[#This Row],[feature_usage_pct]]&lt;60,"Medium Risk","Low Risk"))</f>
        <v>High Risk</v>
      </c>
      <c r="V420">
        <f ca="1">subscriptions[[#This Row],[CLV]]/200</f>
        <v>366.87524999999999</v>
      </c>
    </row>
    <row r="421" spans="1:22" x14ac:dyDescent="0.25">
      <c r="A421" t="s">
        <v>474</v>
      </c>
      <c r="B421" t="s">
        <v>18</v>
      </c>
      <c r="C421" t="s">
        <v>19</v>
      </c>
      <c r="D421" t="s">
        <v>20</v>
      </c>
      <c r="E421" s="2" t="s">
        <v>664</v>
      </c>
      <c r="F421">
        <v>8</v>
      </c>
      <c r="G421">
        <v>161.94999999999999</v>
      </c>
      <c r="H421" t="s">
        <v>43</v>
      </c>
      <c r="I421" t="s">
        <v>23</v>
      </c>
      <c r="J421" s="1">
        <v>44627</v>
      </c>
      <c r="K421" t="s">
        <v>24</v>
      </c>
      <c r="L421" s="1">
        <v>45349</v>
      </c>
      <c r="M421" t="s">
        <v>82</v>
      </c>
      <c r="N421">
        <v>7</v>
      </c>
      <c r="O421">
        <v>2</v>
      </c>
      <c r="P421">
        <v>10</v>
      </c>
      <c r="Q421" t="s">
        <v>26</v>
      </c>
      <c r="R421">
        <f>IF(subscriptions[[#This Row],[churned]]="Yes",1,0)</f>
        <v>1</v>
      </c>
      <c r="S421">
        <f ca="1">IF(subscriptions[[#This Row],[churn_flag]]=1, DATEDIF(subscriptions[[#This Row],[signup_date]],subscriptions[[#This Row],[churn_date]],"M"), DATEDIF(subscriptions[[#This Row],[signup_date]],TODAY(),"M"))</f>
        <v>23</v>
      </c>
      <c r="T421">
        <f ca="1">subscriptions[[#This Row],[monthly_revenue]]*subscriptions[[#This Row],[customer_lifetime]]</f>
        <v>3724.85</v>
      </c>
      <c r="U421" t="str">
        <f>IF(subscriptions[[#This Row],[feature_usage_pct]]&lt;30,"High Risk",IF(subscriptions[[#This Row],[feature_usage_pct]]&lt;60,"Medium Risk","Low Risk"))</f>
        <v>High Risk</v>
      </c>
      <c r="V421">
        <f ca="1">subscriptions[[#This Row],[CLV]]/200</f>
        <v>18.62425</v>
      </c>
    </row>
    <row r="422" spans="1:22" x14ac:dyDescent="0.25">
      <c r="A422" t="s">
        <v>475</v>
      </c>
      <c r="B422" t="s">
        <v>18</v>
      </c>
      <c r="C422" t="s">
        <v>19</v>
      </c>
      <c r="D422" t="s">
        <v>40</v>
      </c>
      <c r="E422" s="2" t="s">
        <v>33</v>
      </c>
      <c r="F422">
        <v>185</v>
      </c>
      <c r="G422">
        <v>2259.4</v>
      </c>
      <c r="H422" t="s">
        <v>60</v>
      </c>
      <c r="I422" t="s">
        <v>23</v>
      </c>
      <c r="J422" s="1">
        <v>44830</v>
      </c>
      <c r="K422" t="s">
        <v>24</v>
      </c>
      <c r="L422" s="1">
        <v>44953</v>
      </c>
      <c r="M422" t="s">
        <v>46</v>
      </c>
      <c r="N422">
        <v>10</v>
      </c>
      <c r="O422">
        <v>6</v>
      </c>
      <c r="P422">
        <v>29</v>
      </c>
      <c r="Q422" t="s">
        <v>26</v>
      </c>
      <c r="R422">
        <f>IF(subscriptions[[#This Row],[churned]]="Yes",1,0)</f>
        <v>1</v>
      </c>
      <c r="S422">
        <f ca="1">IF(subscriptions[[#This Row],[churn_flag]]=1, DATEDIF(subscriptions[[#This Row],[signup_date]],subscriptions[[#This Row],[churn_date]],"M"), DATEDIF(subscriptions[[#This Row],[signup_date]],TODAY(),"M"))</f>
        <v>4</v>
      </c>
      <c r="T422">
        <f ca="1">subscriptions[[#This Row],[monthly_revenue]]*subscriptions[[#This Row],[customer_lifetime]]</f>
        <v>9037.6</v>
      </c>
      <c r="U422" t="str">
        <f>IF(subscriptions[[#This Row],[feature_usage_pct]]&lt;30,"High Risk",IF(subscriptions[[#This Row],[feature_usage_pct]]&lt;60,"Medium Risk","Low Risk"))</f>
        <v>High Risk</v>
      </c>
      <c r="V422">
        <f ca="1">subscriptions[[#This Row],[CLV]]/200</f>
        <v>45.188000000000002</v>
      </c>
    </row>
    <row r="423" spans="1:22" x14ac:dyDescent="0.25">
      <c r="A423" t="s">
        <v>476</v>
      </c>
      <c r="B423" t="s">
        <v>18</v>
      </c>
      <c r="C423" t="s">
        <v>19</v>
      </c>
      <c r="D423" t="s">
        <v>79</v>
      </c>
      <c r="E423" s="2" t="s">
        <v>21</v>
      </c>
      <c r="F423">
        <v>59</v>
      </c>
      <c r="G423">
        <v>766.3</v>
      </c>
      <c r="H423" t="s">
        <v>98</v>
      </c>
      <c r="I423" t="s">
        <v>23</v>
      </c>
      <c r="J423" s="1">
        <v>45030</v>
      </c>
      <c r="K423" t="s">
        <v>26</v>
      </c>
      <c r="N423">
        <v>3</v>
      </c>
      <c r="O423">
        <v>7</v>
      </c>
      <c r="P423">
        <v>92</v>
      </c>
      <c r="Q423" t="s">
        <v>24</v>
      </c>
      <c r="R423">
        <f>IF(subscriptions[[#This Row],[churned]]="Yes",1,0)</f>
        <v>0</v>
      </c>
      <c r="S423">
        <f ca="1">IF(subscriptions[[#This Row],[churn_flag]]=1, DATEDIF(subscriptions[[#This Row],[signup_date]],subscriptions[[#This Row],[churn_date]],"M"), DATEDIF(subscriptions[[#This Row],[signup_date]],TODAY(),"M"))</f>
        <v>36</v>
      </c>
      <c r="T423">
        <f ca="1">subscriptions[[#This Row],[monthly_revenue]]*subscriptions[[#This Row],[customer_lifetime]]</f>
        <v>27586.799999999999</v>
      </c>
      <c r="U423" t="str">
        <f>IF(subscriptions[[#This Row],[feature_usage_pct]]&lt;30,"High Risk",IF(subscriptions[[#This Row],[feature_usage_pct]]&lt;60,"Medium Risk","Low Risk"))</f>
        <v>Low Risk</v>
      </c>
      <c r="V423">
        <f ca="1">subscriptions[[#This Row],[CLV]]/200</f>
        <v>137.934</v>
      </c>
    </row>
    <row r="424" spans="1:22" x14ac:dyDescent="0.25">
      <c r="A424" t="s">
        <v>477</v>
      </c>
      <c r="B424" t="s">
        <v>31</v>
      </c>
      <c r="C424" t="s">
        <v>19</v>
      </c>
      <c r="D424" t="s">
        <v>40</v>
      </c>
      <c r="E424" s="2" t="s">
        <v>663</v>
      </c>
      <c r="F424">
        <v>15</v>
      </c>
      <c r="G424">
        <v>89.9</v>
      </c>
      <c r="H424" t="s">
        <v>43</v>
      </c>
      <c r="I424" t="s">
        <v>38</v>
      </c>
      <c r="J424" s="1">
        <v>45228</v>
      </c>
      <c r="K424" t="s">
        <v>24</v>
      </c>
      <c r="L424" s="1">
        <v>45468</v>
      </c>
      <c r="M424" t="s">
        <v>25</v>
      </c>
      <c r="N424">
        <v>4</v>
      </c>
      <c r="O424">
        <v>5</v>
      </c>
      <c r="P424">
        <v>20</v>
      </c>
      <c r="Q424" t="s">
        <v>26</v>
      </c>
      <c r="R424">
        <f>IF(subscriptions[[#This Row],[churned]]="Yes",1,0)</f>
        <v>1</v>
      </c>
      <c r="S424">
        <f ca="1">IF(subscriptions[[#This Row],[churn_flag]]=1, DATEDIF(subscriptions[[#This Row],[signup_date]],subscriptions[[#This Row],[churn_date]],"M"), DATEDIF(subscriptions[[#This Row],[signup_date]],TODAY(),"M"))</f>
        <v>7</v>
      </c>
      <c r="T424">
        <f ca="1">subscriptions[[#This Row],[monthly_revenue]]*subscriptions[[#This Row],[customer_lifetime]]</f>
        <v>629.30000000000007</v>
      </c>
      <c r="U424" t="str">
        <f>IF(subscriptions[[#This Row],[feature_usage_pct]]&lt;30,"High Risk",IF(subscriptions[[#This Row],[feature_usage_pct]]&lt;60,"Medium Risk","Low Risk"))</f>
        <v>High Risk</v>
      </c>
      <c r="V424">
        <f ca="1">subscriptions[[#This Row],[CLV]]/200</f>
        <v>3.1465000000000005</v>
      </c>
    </row>
    <row r="425" spans="1:22" x14ac:dyDescent="0.25">
      <c r="A425" t="s">
        <v>478</v>
      </c>
      <c r="B425" t="s">
        <v>31</v>
      </c>
      <c r="C425" t="s">
        <v>19</v>
      </c>
      <c r="D425" t="s">
        <v>49</v>
      </c>
      <c r="E425" s="2" t="s">
        <v>664</v>
      </c>
      <c r="F425">
        <v>5</v>
      </c>
      <c r="G425">
        <v>46.4</v>
      </c>
      <c r="H425" t="s">
        <v>43</v>
      </c>
      <c r="I425" t="s">
        <v>38</v>
      </c>
      <c r="J425" s="1">
        <v>45041</v>
      </c>
      <c r="K425" t="s">
        <v>24</v>
      </c>
      <c r="L425" s="1">
        <v>45525</v>
      </c>
      <c r="M425" t="s">
        <v>53</v>
      </c>
      <c r="N425">
        <v>11</v>
      </c>
      <c r="O425">
        <v>6</v>
      </c>
      <c r="P425">
        <v>50</v>
      </c>
      <c r="Q425" t="s">
        <v>26</v>
      </c>
      <c r="R425">
        <f>IF(subscriptions[[#This Row],[churned]]="Yes",1,0)</f>
        <v>1</v>
      </c>
      <c r="S425">
        <f ca="1">IF(subscriptions[[#This Row],[churn_flag]]=1, DATEDIF(subscriptions[[#This Row],[signup_date]],subscriptions[[#This Row],[churn_date]],"M"), DATEDIF(subscriptions[[#This Row],[signup_date]],TODAY(),"M"))</f>
        <v>15</v>
      </c>
      <c r="T425">
        <f ca="1">subscriptions[[#This Row],[monthly_revenue]]*subscriptions[[#This Row],[customer_lifetime]]</f>
        <v>696</v>
      </c>
      <c r="U425" t="str">
        <f>IF(subscriptions[[#This Row],[feature_usage_pct]]&lt;30,"High Risk",IF(subscriptions[[#This Row],[feature_usage_pct]]&lt;60,"Medium Risk","Low Risk"))</f>
        <v>Medium Risk</v>
      </c>
      <c r="V425">
        <f ca="1">subscriptions[[#This Row],[CLV]]/200</f>
        <v>3.48</v>
      </c>
    </row>
    <row r="426" spans="1:22" x14ac:dyDescent="0.25">
      <c r="A426" t="s">
        <v>479</v>
      </c>
      <c r="B426" t="s">
        <v>31</v>
      </c>
      <c r="C426" t="s">
        <v>19</v>
      </c>
      <c r="D426" t="s">
        <v>42</v>
      </c>
      <c r="E426" s="2" t="s">
        <v>664</v>
      </c>
      <c r="F426">
        <v>6</v>
      </c>
      <c r="G426">
        <v>50.75</v>
      </c>
      <c r="H426" t="s">
        <v>43</v>
      </c>
      <c r="I426" t="s">
        <v>55</v>
      </c>
      <c r="J426" s="1">
        <v>45731</v>
      </c>
      <c r="K426" t="s">
        <v>24</v>
      </c>
      <c r="L426" s="1">
        <v>45869</v>
      </c>
      <c r="M426" t="s">
        <v>63</v>
      </c>
      <c r="N426">
        <v>6</v>
      </c>
      <c r="O426">
        <v>2</v>
      </c>
      <c r="P426">
        <v>22</v>
      </c>
      <c r="Q426" t="s">
        <v>26</v>
      </c>
      <c r="R426">
        <f>IF(subscriptions[[#This Row],[churned]]="Yes",1,0)</f>
        <v>1</v>
      </c>
      <c r="S426">
        <f ca="1">IF(subscriptions[[#This Row],[churn_flag]]=1, DATEDIF(subscriptions[[#This Row],[signup_date]],subscriptions[[#This Row],[churn_date]],"M"), DATEDIF(subscriptions[[#This Row],[signup_date]],TODAY(),"M"))</f>
        <v>4</v>
      </c>
      <c r="T426">
        <f ca="1">subscriptions[[#This Row],[monthly_revenue]]*subscriptions[[#This Row],[customer_lifetime]]</f>
        <v>203</v>
      </c>
      <c r="U426" t="str">
        <f>IF(subscriptions[[#This Row],[feature_usage_pct]]&lt;30,"High Risk",IF(subscriptions[[#This Row],[feature_usage_pct]]&lt;60,"Medium Risk","Low Risk"))</f>
        <v>High Risk</v>
      </c>
      <c r="V426">
        <f ca="1">subscriptions[[#This Row],[CLV]]/200</f>
        <v>1.0149999999999999</v>
      </c>
    </row>
    <row r="427" spans="1:22" x14ac:dyDescent="0.25">
      <c r="A427" t="s">
        <v>480</v>
      </c>
      <c r="B427" t="s">
        <v>36</v>
      </c>
      <c r="C427" t="s">
        <v>19</v>
      </c>
      <c r="D427" t="s">
        <v>62</v>
      </c>
      <c r="E427" s="2" t="s">
        <v>664</v>
      </c>
      <c r="F427">
        <v>7</v>
      </c>
      <c r="G427">
        <v>378.1</v>
      </c>
      <c r="H427" t="s">
        <v>22</v>
      </c>
      <c r="I427" t="s">
        <v>23</v>
      </c>
      <c r="J427" s="1">
        <v>45357</v>
      </c>
      <c r="K427" t="s">
        <v>26</v>
      </c>
      <c r="N427">
        <v>10</v>
      </c>
      <c r="O427">
        <v>10</v>
      </c>
      <c r="P427">
        <v>68</v>
      </c>
      <c r="Q427" t="s">
        <v>24</v>
      </c>
      <c r="R427">
        <f>IF(subscriptions[[#This Row],[churned]]="Yes",1,0)</f>
        <v>0</v>
      </c>
      <c r="S427">
        <f ca="1">IF(subscriptions[[#This Row],[churn_flag]]=1, DATEDIF(subscriptions[[#This Row],[signup_date]],subscriptions[[#This Row],[churn_date]],"M"), DATEDIF(subscriptions[[#This Row],[signup_date]],TODAY(),"M"))</f>
        <v>26</v>
      </c>
      <c r="T427">
        <f ca="1">subscriptions[[#This Row],[monthly_revenue]]*subscriptions[[#This Row],[customer_lifetime]]</f>
        <v>9830.6</v>
      </c>
      <c r="U427" t="str">
        <f>IF(subscriptions[[#This Row],[feature_usage_pct]]&lt;30,"High Risk",IF(subscriptions[[#This Row],[feature_usage_pct]]&lt;60,"Medium Risk","Low Risk"))</f>
        <v>Low Risk</v>
      </c>
      <c r="V427">
        <f ca="1">subscriptions[[#This Row],[CLV]]/200</f>
        <v>49.152999999999999</v>
      </c>
    </row>
    <row r="428" spans="1:22" x14ac:dyDescent="0.25">
      <c r="A428" t="s">
        <v>481</v>
      </c>
      <c r="B428" t="s">
        <v>31</v>
      </c>
      <c r="C428" t="s">
        <v>28</v>
      </c>
      <c r="D428" t="s">
        <v>37</v>
      </c>
      <c r="E428" s="2" t="s">
        <v>21</v>
      </c>
      <c r="F428">
        <v>79</v>
      </c>
      <c r="G428">
        <v>313.05</v>
      </c>
      <c r="H428" t="s">
        <v>60</v>
      </c>
      <c r="I428" t="s">
        <v>69</v>
      </c>
      <c r="J428" s="1">
        <v>45651</v>
      </c>
      <c r="K428" t="s">
        <v>26</v>
      </c>
      <c r="N428">
        <v>6</v>
      </c>
      <c r="O428">
        <v>7</v>
      </c>
      <c r="P428">
        <v>37</v>
      </c>
      <c r="Q428" t="s">
        <v>26</v>
      </c>
      <c r="R428">
        <f>IF(subscriptions[[#This Row],[churned]]="Yes",1,0)</f>
        <v>0</v>
      </c>
      <c r="S428">
        <f ca="1">IF(subscriptions[[#This Row],[churn_flag]]=1, DATEDIF(subscriptions[[#This Row],[signup_date]],subscriptions[[#This Row],[churn_date]],"M"), DATEDIF(subscriptions[[#This Row],[signup_date]],TODAY(),"M"))</f>
        <v>16</v>
      </c>
      <c r="T428">
        <f ca="1">subscriptions[[#This Row],[monthly_revenue]]*subscriptions[[#This Row],[customer_lifetime]]</f>
        <v>5008.8</v>
      </c>
      <c r="U428" t="str">
        <f>IF(subscriptions[[#This Row],[feature_usage_pct]]&lt;30,"High Risk",IF(subscriptions[[#This Row],[feature_usage_pct]]&lt;60,"Medium Risk","Low Risk"))</f>
        <v>Medium Risk</v>
      </c>
      <c r="V428">
        <f ca="1">subscriptions[[#This Row],[CLV]]/200</f>
        <v>25.044</v>
      </c>
    </row>
    <row r="429" spans="1:22" x14ac:dyDescent="0.25">
      <c r="A429" t="s">
        <v>482</v>
      </c>
      <c r="B429" t="s">
        <v>31</v>
      </c>
      <c r="C429" t="s">
        <v>19</v>
      </c>
      <c r="D429" t="s">
        <v>37</v>
      </c>
      <c r="E429" s="2" t="s">
        <v>663</v>
      </c>
      <c r="F429">
        <v>11</v>
      </c>
      <c r="G429">
        <v>72.5</v>
      </c>
      <c r="H429" t="s">
        <v>22</v>
      </c>
      <c r="I429" t="s">
        <v>23</v>
      </c>
      <c r="J429" s="1">
        <v>45948</v>
      </c>
      <c r="K429" t="s">
        <v>26</v>
      </c>
      <c r="N429">
        <v>1</v>
      </c>
      <c r="O429">
        <v>4</v>
      </c>
      <c r="P429">
        <v>24</v>
      </c>
      <c r="Q429" t="s">
        <v>26</v>
      </c>
      <c r="R429">
        <f>IF(subscriptions[[#This Row],[churned]]="Yes",1,0)</f>
        <v>0</v>
      </c>
      <c r="S429">
        <f ca="1">IF(subscriptions[[#This Row],[churn_flag]]=1, DATEDIF(subscriptions[[#This Row],[signup_date]],subscriptions[[#This Row],[churn_date]],"M"), DATEDIF(subscriptions[[#This Row],[signup_date]],TODAY(),"M"))</f>
        <v>6</v>
      </c>
      <c r="T429">
        <f ca="1">subscriptions[[#This Row],[monthly_revenue]]*subscriptions[[#This Row],[customer_lifetime]]</f>
        <v>435</v>
      </c>
      <c r="U429" t="str">
        <f>IF(subscriptions[[#This Row],[feature_usage_pct]]&lt;30,"High Risk",IF(subscriptions[[#This Row],[feature_usage_pct]]&lt;60,"Medium Risk","Low Risk"))</f>
        <v>High Risk</v>
      </c>
      <c r="V429">
        <f ca="1">subscriptions[[#This Row],[CLV]]/200</f>
        <v>2.1749999999999998</v>
      </c>
    </row>
    <row r="430" spans="1:22" x14ac:dyDescent="0.25">
      <c r="A430" t="s">
        <v>483</v>
      </c>
      <c r="B430" t="s">
        <v>18</v>
      </c>
      <c r="C430" t="s">
        <v>19</v>
      </c>
      <c r="D430" t="s">
        <v>49</v>
      </c>
      <c r="E430" s="2" t="s">
        <v>663</v>
      </c>
      <c r="F430">
        <v>15</v>
      </c>
      <c r="G430">
        <v>244.9</v>
      </c>
      <c r="H430" t="s">
        <v>60</v>
      </c>
      <c r="I430" t="s">
        <v>38</v>
      </c>
      <c r="J430" s="1">
        <v>45817</v>
      </c>
      <c r="K430" t="s">
        <v>26</v>
      </c>
      <c r="N430">
        <v>8</v>
      </c>
      <c r="O430">
        <v>5</v>
      </c>
      <c r="P430">
        <v>32</v>
      </c>
      <c r="Q430" t="s">
        <v>26</v>
      </c>
      <c r="R430">
        <f>IF(subscriptions[[#This Row],[churned]]="Yes",1,0)</f>
        <v>0</v>
      </c>
      <c r="S430">
        <f ca="1">IF(subscriptions[[#This Row],[churn_flag]]=1, DATEDIF(subscriptions[[#This Row],[signup_date]],subscriptions[[#This Row],[churn_date]],"M"), DATEDIF(subscriptions[[#This Row],[signup_date]],TODAY(),"M"))</f>
        <v>11</v>
      </c>
      <c r="T430">
        <f ca="1">subscriptions[[#This Row],[monthly_revenue]]*subscriptions[[#This Row],[customer_lifetime]]</f>
        <v>2693.9</v>
      </c>
      <c r="U430" t="str">
        <f>IF(subscriptions[[#This Row],[feature_usage_pct]]&lt;30,"High Risk",IF(subscriptions[[#This Row],[feature_usage_pct]]&lt;60,"Medium Risk","Low Risk"))</f>
        <v>Medium Risk</v>
      </c>
      <c r="V430">
        <f ca="1">subscriptions[[#This Row],[CLV]]/200</f>
        <v>13.4695</v>
      </c>
    </row>
    <row r="431" spans="1:22" x14ac:dyDescent="0.25">
      <c r="A431" t="s">
        <v>484</v>
      </c>
      <c r="B431" t="s">
        <v>36</v>
      </c>
      <c r="C431" t="s">
        <v>19</v>
      </c>
      <c r="D431" t="s">
        <v>62</v>
      </c>
      <c r="E431" s="2" t="s">
        <v>663</v>
      </c>
      <c r="F431">
        <v>20</v>
      </c>
      <c r="G431">
        <v>766.15</v>
      </c>
      <c r="H431" t="s">
        <v>43</v>
      </c>
      <c r="I431" t="s">
        <v>38</v>
      </c>
      <c r="J431" s="1">
        <v>45966</v>
      </c>
      <c r="K431" t="s">
        <v>26</v>
      </c>
      <c r="N431">
        <v>2</v>
      </c>
      <c r="O431">
        <v>9</v>
      </c>
      <c r="P431">
        <v>39</v>
      </c>
      <c r="Q431" t="s">
        <v>26</v>
      </c>
      <c r="R431">
        <f>IF(subscriptions[[#This Row],[churned]]="Yes",1,0)</f>
        <v>0</v>
      </c>
      <c r="S431">
        <f ca="1">IF(subscriptions[[#This Row],[churn_flag]]=1, DATEDIF(subscriptions[[#This Row],[signup_date]],subscriptions[[#This Row],[churn_date]],"M"), DATEDIF(subscriptions[[#This Row],[signup_date]],TODAY(),"M"))</f>
        <v>6</v>
      </c>
      <c r="T431">
        <f ca="1">subscriptions[[#This Row],[monthly_revenue]]*subscriptions[[#This Row],[customer_lifetime]]</f>
        <v>4596.8999999999996</v>
      </c>
      <c r="U431" t="str">
        <f>IF(subscriptions[[#This Row],[feature_usage_pct]]&lt;30,"High Risk",IF(subscriptions[[#This Row],[feature_usage_pct]]&lt;60,"Medium Risk","Low Risk"))</f>
        <v>Medium Risk</v>
      </c>
      <c r="V431">
        <f ca="1">subscriptions[[#This Row],[CLV]]/200</f>
        <v>22.984499999999997</v>
      </c>
    </row>
    <row r="432" spans="1:22" x14ac:dyDescent="0.25">
      <c r="A432" t="s">
        <v>485</v>
      </c>
      <c r="B432" t="s">
        <v>31</v>
      </c>
      <c r="C432" t="s">
        <v>28</v>
      </c>
      <c r="D432" t="s">
        <v>37</v>
      </c>
      <c r="E432" s="2" t="s">
        <v>663</v>
      </c>
      <c r="F432">
        <v>27</v>
      </c>
      <c r="G432">
        <v>120.78</v>
      </c>
      <c r="H432" t="s">
        <v>22</v>
      </c>
      <c r="I432" t="s">
        <v>55</v>
      </c>
      <c r="J432" s="1">
        <v>45933</v>
      </c>
      <c r="K432" t="s">
        <v>26</v>
      </c>
      <c r="N432">
        <v>3</v>
      </c>
      <c r="O432">
        <v>8</v>
      </c>
      <c r="P432">
        <v>22</v>
      </c>
      <c r="Q432" t="s">
        <v>26</v>
      </c>
      <c r="R432">
        <f>IF(subscriptions[[#This Row],[churned]]="Yes",1,0)</f>
        <v>0</v>
      </c>
      <c r="S432">
        <f ca="1">IF(subscriptions[[#This Row],[churn_flag]]=1, DATEDIF(subscriptions[[#This Row],[signup_date]],subscriptions[[#This Row],[churn_date]],"M"), DATEDIF(subscriptions[[#This Row],[signup_date]],TODAY(),"M"))</f>
        <v>7</v>
      </c>
      <c r="T432">
        <f ca="1">subscriptions[[#This Row],[monthly_revenue]]*subscriptions[[#This Row],[customer_lifetime]]</f>
        <v>845.46</v>
      </c>
      <c r="U432" t="str">
        <f>IF(subscriptions[[#This Row],[feature_usage_pct]]&lt;30,"High Risk",IF(subscriptions[[#This Row],[feature_usage_pct]]&lt;60,"Medium Risk","Low Risk"))</f>
        <v>High Risk</v>
      </c>
      <c r="V432">
        <f ca="1">subscriptions[[#This Row],[CLV]]/200</f>
        <v>4.2273000000000005</v>
      </c>
    </row>
    <row r="433" spans="1:22" x14ac:dyDescent="0.25">
      <c r="A433" t="s">
        <v>486</v>
      </c>
      <c r="B433" t="s">
        <v>18</v>
      </c>
      <c r="C433" t="s">
        <v>28</v>
      </c>
      <c r="D433" t="s">
        <v>62</v>
      </c>
      <c r="E433" s="2" t="s">
        <v>21</v>
      </c>
      <c r="F433">
        <v>28</v>
      </c>
      <c r="G433">
        <v>339.11</v>
      </c>
      <c r="H433" t="s">
        <v>22</v>
      </c>
      <c r="I433" t="s">
        <v>23</v>
      </c>
      <c r="J433" s="1">
        <v>45787</v>
      </c>
      <c r="K433" t="s">
        <v>26</v>
      </c>
      <c r="N433">
        <v>2</v>
      </c>
      <c r="O433">
        <v>1</v>
      </c>
      <c r="P433">
        <v>51</v>
      </c>
      <c r="Q433" t="s">
        <v>26</v>
      </c>
      <c r="R433">
        <f>IF(subscriptions[[#This Row],[churned]]="Yes",1,0)</f>
        <v>0</v>
      </c>
      <c r="S433">
        <f ca="1">IF(subscriptions[[#This Row],[churn_flag]]=1, DATEDIF(subscriptions[[#This Row],[signup_date]],subscriptions[[#This Row],[churn_date]],"M"), DATEDIF(subscriptions[[#This Row],[signup_date]],TODAY(),"M"))</f>
        <v>12</v>
      </c>
      <c r="T433">
        <f ca="1">subscriptions[[#This Row],[monthly_revenue]]*subscriptions[[#This Row],[customer_lifetime]]</f>
        <v>4069.32</v>
      </c>
      <c r="U433" t="str">
        <f>IF(subscriptions[[#This Row],[feature_usage_pct]]&lt;30,"High Risk",IF(subscriptions[[#This Row],[feature_usage_pct]]&lt;60,"Medium Risk","Low Risk"))</f>
        <v>Medium Risk</v>
      </c>
      <c r="V433">
        <f ca="1">subscriptions[[#This Row],[CLV]]/200</f>
        <v>20.346600000000002</v>
      </c>
    </row>
    <row r="434" spans="1:22" x14ac:dyDescent="0.25">
      <c r="A434" t="s">
        <v>487</v>
      </c>
      <c r="B434" t="s">
        <v>71</v>
      </c>
      <c r="C434" t="s">
        <v>19</v>
      </c>
      <c r="D434" t="s">
        <v>37</v>
      </c>
      <c r="E434" s="2" t="s">
        <v>663</v>
      </c>
      <c r="F434">
        <v>25</v>
      </c>
      <c r="G434">
        <v>2295.4</v>
      </c>
      <c r="H434" t="s">
        <v>22</v>
      </c>
      <c r="I434" t="s">
        <v>23</v>
      </c>
      <c r="J434" s="1">
        <v>45151</v>
      </c>
      <c r="K434" t="s">
        <v>24</v>
      </c>
      <c r="L434" s="1">
        <v>45347</v>
      </c>
      <c r="M434" t="s">
        <v>63</v>
      </c>
      <c r="N434">
        <v>1</v>
      </c>
      <c r="O434">
        <v>1</v>
      </c>
      <c r="P434">
        <v>34</v>
      </c>
      <c r="Q434" t="s">
        <v>26</v>
      </c>
      <c r="R434">
        <f>IF(subscriptions[[#This Row],[churned]]="Yes",1,0)</f>
        <v>1</v>
      </c>
      <c r="S434">
        <f ca="1">IF(subscriptions[[#This Row],[churn_flag]]=1, DATEDIF(subscriptions[[#This Row],[signup_date]],subscriptions[[#This Row],[churn_date]],"M"), DATEDIF(subscriptions[[#This Row],[signup_date]],TODAY(),"M"))</f>
        <v>6</v>
      </c>
      <c r="T434">
        <f ca="1">subscriptions[[#This Row],[monthly_revenue]]*subscriptions[[#This Row],[customer_lifetime]]</f>
        <v>13772.400000000001</v>
      </c>
      <c r="U434" t="str">
        <f>IF(subscriptions[[#This Row],[feature_usage_pct]]&lt;30,"High Risk",IF(subscriptions[[#This Row],[feature_usage_pct]]&lt;60,"Medium Risk","Low Risk"))</f>
        <v>Medium Risk</v>
      </c>
      <c r="V434">
        <f ca="1">subscriptions[[#This Row],[CLV]]/200</f>
        <v>68.862000000000009</v>
      </c>
    </row>
    <row r="435" spans="1:22" x14ac:dyDescent="0.25">
      <c r="A435" t="s">
        <v>488</v>
      </c>
      <c r="B435" t="s">
        <v>31</v>
      </c>
      <c r="C435" t="s">
        <v>28</v>
      </c>
      <c r="D435" t="s">
        <v>37</v>
      </c>
      <c r="E435" s="2" t="s">
        <v>33</v>
      </c>
      <c r="F435">
        <v>222</v>
      </c>
      <c r="G435">
        <v>841.8</v>
      </c>
      <c r="H435" t="s">
        <v>43</v>
      </c>
      <c r="I435" t="s">
        <v>23</v>
      </c>
      <c r="J435" s="1">
        <v>44851</v>
      </c>
      <c r="K435" t="s">
        <v>24</v>
      </c>
      <c r="L435" s="1">
        <v>45631</v>
      </c>
      <c r="M435" t="s">
        <v>46</v>
      </c>
      <c r="N435">
        <v>8</v>
      </c>
      <c r="O435">
        <v>2</v>
      </c>
      <c r="P435">
        <v>47</v>
      </c>
      <c r="Q435" t="s">
        <v>26</v>
      </c>
      <c r="R435">
        <f>IF(subscriptions[[#This Row],[churned]]="Yes",1,0)</f>
        <v>1</v>
      </c>
      <c r="S435">
        <f ca="1">IF(subscriptions[[#This Row],[churn_flag]]=1, DATEDIF(subscriptions[[#This Row],[signup_date]],subscriptions[[#This Row],[churn_date]],"M"), DATEDIF(subscriptions[[#This Row],[signup_date]],TODAY(),"M"))</f>
        <v>25</v>
      </c>
      <c r="T435">
        <f ca="1">subscriptions[[#This Row],[monthly_revenue]]*subscriptions[[#This Row],[customer_lifetime]]</f>
        <v>21045</v>
      </c>
      <c r="U435" t="str">
        <f>IF(subscriptions[[#This Row],[feature_usage_pct]]&lt;30,"High Risk",IF(subscriptions[[#This Row],[feature_usage_pct]]&lt;60,"Medium Risk","Low Risk"))</f>
        <v>Medium Risk</v>
      </c>
      <c r="V435">
        <f ca="1">subscriptions[[#This Row],[CLV]]/200</f>
        <v>105.22499999999999</v>
      </c>
    </row>
    <row r="436" spans="1:22" x14ac:dyDescent="0.25">
      <c r="A436" t="s">
        <v>489</v>
      </c>
      <c r="B436" t="s">
        <v>31</v>
      </c>
      <c r="C436" t="s">
        <v>19</v>
      </c>
      <c r="D436" t="s">
        <v>20</v>
      </c>
      <c r="E436" s="2" t="s">
        <v>664</v>
      </c>
      <c r="F436">
        <v>4</v>
      </c>
      <c r="G436">
        <v>42.05</v>
      </c>
      <c r="H436" t="s">
        <v>43</v>
      </c>
      <c r="I436" t="s">
        <v>69</v>
      </c>
      <c r="J436" s="1">
        <v>44966</v>
      </c>
      <c r="K436" t="s">
        <v>24</v>
      </c>
      <c r="L436" s="1">
        <v>45165</v>
      </c>
      <c r="M436" t="s">
        <v>46</v>
      </c>
      <c r="N436">
        <v>5</v>
      </c>
      <c r="O436">
        <v>3</v>
      </c>
      <c r="P436">
        <v>10</v>
      </c>
      <c r="Q436" t="s">
        <v>26</v>
      </c>
      <c r="R436">
        <f>IF(subscriptions[[#This Row],[churned]]="Yes",1,0)</f>
        <v>1</v>
      </c>
      <c r="S436">
        <f ca="1">IF(subscriptions[[#This Row],[churn_flag]]=1, DATEDIF(subscriptions[[#This Row],[signup_date]],subscriptions[[#This Row],[churn_date]],"M"), DATEDIF(subscriptions[[#This Row],[signup_date]],TODAY(),"M"))</f>
        <v>6</v>
      </c>
      <c r="T436">
        <f ca="1">subscriptions[[#This Row],[monthly_revenue]]*subscriptions[[#This Row],[customer_lifetime]]</f>
        <v>252.29999999999998</v>
      </c>
      <c r="U436" t="str">
        <f>IF(subscriptions[[#This Row],[feature_usage_pct]]&lt;30,"High Risk",IF(subscriptions[[#This Row],[feature_usage_pct]]&lt;60,"Medium Risk","Low Risk"))</f>
        <v>High Risk</v>
      </c>
      <c r="V436">
        <f ca="1">subscriptions[[#This Row],[CLV]]/200</f>
        <v>1.2614999999999998</v>
      </c>
    </row>
    <row r="437" spans="1:22" x14ac:dyDescent="0.25">
      <c r="A437" t="s">
        <v>490</v>
      </c>
      <c r="B437" t="s">
        <v>36</v>
      </c>
      <c r="C437" t="s">
        <v>28</v>
      </c>
      <c r="D437" t="s">
        <v>32</v>
      </c>
      <c r="E437" s="2" t="s">
        <v>21</v>
      </c>
      <c r="F437">
        <v>48</v>
      </c>
      <c r="G437">
        <v>1361.66</v>
      </c>
      <c r="H437" t="s">
        <v>60</v>
      </c>
      <c r="I437" t="s">
        <v>69</v>
      </c>
      <c r="J437" s="1">
        <v>44906</v>
      </c>
      <c r="K437" t="s">
        <v>24</v>
      </c>
      <c r="L437" s="1">
        <v>45600</v>
      </c>
      <c r="M437" t="s">
        <v>56</v>
      </c>
      <c r="N437">
        <v>7</v>
      </c>
      <c r="O437">
        <v>1</v>
      </c>
      <c r="P437">
        <v>28</v>
      </c>
      <c r="Q437" t="s">
        <v>26</v>
      </c>
      <c r="R437">
        <f>IF(subscriptions[[#This Row],[churned]]="Yes",1,0)</f>
        <v>1</v>
      </c>
      <c r="S437">
        <f ca="1">IF(subscriptions[[#This Row],[churn_flag]]=1, DATEDIF(subscriptions[[#This Row],[signup_date]],subscriptions[[#This Row],[churn_date]],"M"), DATEDIF(subscriptions[[#This Row],[signup_date]],TODAY(),"M"))</f>
        <v>22</v>
      </c>
      <c r="T437">
        <f ca="1">subscriptions[[#This Row],[monthly_revenue]]*subscriptions[[#This Row],[customer_lifetime]]</f>
        <v>29956.52</v>
      </c>
      <c r="U437" t="str">
        <f>IF(subscriptions[[#This Row],[feature_usage_pct]]&lt;30,"High Risk",IF(subscriptions[[#This Row],[feature_usage_pct]]&lt;60,"Medium Risk","Low Risk"))</f>
        <v>High Risk</v>
      </c>
      <c r="V437">
        <f ca="1">subscriptions[[#This Row],[CLV]]/200</f>
        <v>149.7826</v>
      </c>
    </row>
    <row r="438" spans="1:22" x14ac:dyDescent="0.25">
      <c r="A438" t="s">
        <v>491</v>
      </c>
      <c r="B438" t="s">
        <v>31</v>
      </c>
      <c r="C438" t="s">
        <v>19</v>
      </c>
      <c r="D438" t="s">
        <v>62</v>
      </c>
      <c r="E438" s="2" t="s">
        <v>663</v>
      </c>
      <c r="F438">
        <v>6</v>
      </c>
      <c r="G438">
        <v>50.75</v>
      </c>
      <c r="H438" t="s">
        <v>43</v>
      </c>
      <c r="I438" t="s">
        <v>55</v>
      </c>
      <c r="J438" s="1">
        <v>45026</v>
      </c>
      <c r="K438" t="s">
        <v>24</v>
      </c>
      <c r="L438" s="1">
        <v>45086</v>
      </c>
      <c r="M438" t="s">
        <v>46</v>
      </c>
      <c r="N438">
        <v>5</v>
      </c>
      <c r="O438">
        <v>3</v>
      </c>
      <c r="P438">
        <v>18</v>
      </c>
      <c r="Q438" t="s">
        <v>26</v>
      </c>
      <c r="R438">
        <f>IF(subscriptions[[#This Row],[churned]]="Yes",1,0)</f>
        <v>1</v>
      </c>
      <c r="S438">
        <f ca="1">IF(subscriptions[[#This Row],[churn_flag]]=1, DATEDIF(subscriptions[[#This Row],[signup_date]],subscriptions[[#This Row],[churn_date]],"M"), DATEDIF(subscriptions[[#This Row],[signup_date]],TODAY(),"M"))</f>
        <v>1</v>
      </c>
      <c r="T438">
        <f ca="1">subscriptions[[#This Row],[monthly_revenue]]*subscriptions[[#This Row],[customer_lifetime]]</f>
        <v>50.75</v>
      </c>
      <c r="U438" t="str">
        <f>IF(subscriptions[[#This Row],[feature_usage_pct]]&lt;30,"High Risk",IF(subscriptions[[#This Row],[feature_usage_pct]]&lt;60,"Medium Risk","Low Risk"))</f>
        <v>High Risk</v>
      </c>
      <c r="V438">
        <f ca="1">subscriptions[[#This Row],[CLV]]/200</f>
        <v>0.25374999999999998</v>
      </c>
    </row>
    <row r="439" spans="1:22" x14ac:dyDescent="0.25">
      <c r="A439" t="s">
        <v>492</v>
      </c>
      <c r="B439" t="s">
        <v>31</v>
      </c>
      <c r="C439" t="s">
        <v>28</v>
      </c>
      <c r="D439" t="s">
        <v>42</v>
      </c>
      <c r="E439" s="2" t="s">
        <v>21</v>
      </c>
      <c r="F439">
        <v>44</v>
      </c>
      <c r="G439">
        <v>183.64</v>
      </c>
      <c r="H439" t="s">
        <v>60</v>
      </c>
      <c r="I439" t="s">
        <v>38</v>
      </c>
      <c r="J439" s="1">
        <v>45597</v>
      </c>
      <c r="K439" t="s">
        <v>24</v>
      </c>
      <c r="L439" s="1">
        <v>45599</v>
      </c>
      <c r="M439" t="s">
        <v>25</v>
      </c>
      <c r="N439">
        <v>5</v>
      </c>
      <c r="O439">
        <v>6</v>
      </c>
      <c r="P439">
        <v>31</v>
      </c>
      <c r="Q439" t="s">
        <v>26</v>
      </c>
      <c r="R439">
        <f>IF(subscriptions[[#This Row],[churned]]="Yes",1,0)</f>
        <v>1</v>
      </c>
      <c r="S439">
        <f ca="1">IF(subscriptions[[#This Row],[churn_flag]]=1, DATEDIF(subscriptions[[#This Row],[signup_date]],subscriptions[[#This Row],[churn_date]],"M"), DATEDIF(subscriptions[[#This Row],[signup_date]],TODAY(),"M"))</f>
        <v>0</v>
      </c>
      <c r="T439">
        <f ca="1">subscriptions[[#This Row],[monthly_revenue]]*subscriptions[[#This Row],[customer_lifetime]]</f>
        <v>0</v>
      </c>
      <c r="U439" t="str">
        <f>IF(subscriptions[[#This Row],[feature_usage_pct]]&lt;30,"High Risk",IF(subscriptions[[#This Row],[feature_usage_pct]]&lt;60,"Medium Risk","Low Risk"))</f>
        <v>Medium Risk</v>
      </c>
      <c r="V439">
        <f ca="1">subscriptions[[#This Row],[CLV]]/200</f>
        <v>0</v>
      </c>
    </row>
    <row r="440" spans="1:22" x14ac:dyDescent="0.25">
      <c r="A440" t="s">
        <v>493</v>
      </c>
      <c r="B440" t="s">
        <v>36</v>
      </c>
      <c r="C440" t="s">
        <v>19</v>
      </c>
      <c r="D440" t="s">
        <v>79</v>
      </c>
      <c r="E440" s="2" t="s">
        <v>33</v>
      </c>
      <c r="F440">
        <v>62</v>
      </c>
      <c r="G440">
        <v>2019.85</v>
      </c>
      <c r="H440" t="s">
        <v>29</v>
      </c>
      <c r="I440" t="s">
        <v>38</v>
      </c>
      <c r="J440" s="1">
        <v>45816</v>
      </c>
      <c r="K440" t="s">
        <v>24</v>
      </c>
      <c r="L440" s="1">
        <v>45856</v>
      </c>
      <c r="M440" t="s">
        <v>56</v>
      </c>
      <c r="N440">
        <v>9</v>
      </c>
      <c r="O440">
        <v>4</v>
      </c>
      <c r="P440">
        <v>34</v>
      </c>
      <c r="Q440" t="s">
        <v>26</v>
      </c>
      <c r="R440">
        <f>IF(subscriptions[[#This Row],[churned]]="Yes",1,0)</f>
        <v>1</v>
      </c>
      <c r="S440">
        <f ca="1">IF(subscriptions[[#This Row],[churn_flag]]=1, DATEDIF(subscriptions[[#This Row],[signup_date]],subscriptions[[#This Row],[churn_date]],"M"), DATEDIF(subscriptions[[#This Row],[signup_date]],TODAY(),"M"))</f>
        <v>1</v>
      </c>
      <c r="T440">
        <f ca="1">subscriptions[[#This Row],[monthly_revenue]]*subscriptions[[#This Row],[customer_lifetime]]</f>
        <v>2019.85</v>
      </c>
      <c r="U440" t="str">
        <f>IF(subscriptions[[#This Row],[feature_usage_pct]]&lt;30,"High Risk",IF(subscriptions[[#This Row],[feature_usage_pct]]&lt;60,"Medium Risk","Low Risk"))</f>
        <v>Medium Risk</v>
      </c>
      <c r="V440">
        <f ca="1">subscriptions[[#This Row],[CLV]]/200</f>
        <v>10.09925</v>
      </c>
    </row>
    <row r="441" spans="1:22" x14ac:dyDescent="0.25">
      <c r="A441" t="s">
        <v>494</v>
      </c>
      <c r="B441" t="s">
        <v>36</v>
      </c>
      <c r="C441" t="s">
        <v>28</v>
      </c>
      <c r="D441" t="s">
        <v>52</v>
      </c>
      <c r="E441" s="2" t="s">
        <v>664</v>
      </c>
      <c r="F441">
        <v>8</v>
      </c>
      <c r="G441">
        <v>346.76</v>
      </c>
      <c r="H441" t="s">
        <v>43</v>
      </c>
      <c r="I441" t="s">
        <v>69</v>
      </c>
      <c r="J441" s="1">
        <v>45992</v>
      </c>
      <c r="K441" t="s">
        <v>26</v>
      </c>
      <c r="N441">
        <v>1</v>
      </c>
      <c r="O441">
        <v>10</v>
      </c>
      <c r="P441">
        <v>50</v>
      </c>
      <c r="Q441" t="s">
        <v>26</v>
      </c>
      <c r="R441">
        <f>IF(subscriptions[[#This Row],[churned]]="Yes",1,0)</f>
        <v>0</v>
      </c>
      <c r="S441">
        <f ca="1">IF(subscriptions[[#This Row],[churn_flag]]=1, DATEDIF(subscriptions[[#This Row],[signup_date]],subscriptions[[#This Row],[churn_date]],"M"), DATEDIF(subscriptions[[#This Row],[signup_date]],TODAY(),"M"))</f>
        <v>5</v>
      </c>
      <c r="T441">
        <f ca="1">subscriptions[[#This Row],[monthly_revenue]]*subscriptions[[#This Row],[customer_lifetime]]</f>
        <v>1733.8</v>
      </c>
      <c r="U441" t="str">
        <f>IF(subscriptions[[#This Row],[feature_usage_pct]]&lt;30,"High Risk",IF(subscriptions[[#This Row],[feature_usage_pct]]&lt;60,"Medium Risk","Low Risk"))</f>
        <v>Medium Risk</v>
      </c>
      <c r="V441">
        <f ca="1">subscriptions[[#This Row],[CLV]]/200</f>
        <v>8.6690000000000005</v>
      </c>
    </row>
    <row r="442" spans="1:22" x14ac:dyDescent="0.25">
      <c r="A442" t="s">
        <v>495</v>
      </c>
      <c r="B442" t="s">
        <v>18</v>
      </c>
      <c r="C442" t="s">
        <v>28</v>
      </c>
      <c r="D442" t="s">
        <v>37</v>
      </c>
      <c r="E442" s="2" t="s">
        <v>45</v>
      </c>
      <c r="F442">
        <v>88</v>
      </c>
      <c r="G442">
        <v>943.46</v>
      </c>
      <c r="H442" t="s">
        <v>60</v>
      </c>
      <c r="I442" t="s">
        <v>23</v>
      </c>
      <c r="J442" s="1">
        <v>45151</v>
      </c>
      <c r="K442" t="s">
        <v>24</v>
      </c>
      <c r="L442" s="1">
        <v>45308</v>
      </c>
      <c r="M442" t="s">
        <v>50</v>
      </c>
      <c r="N442">
        <v>8</v>
      </c>
      <c r="O442">
        <v>4</v>
      </c>
      <c r="P442">
        <v>44</v>
      </c>
      <c r="Q442" t="s">
        <v>26</v>
      </c>
      <c r="R442">
        <f>IF(subscriptions[[#This Row],[churned]]="Yes",1,0)</f>
        <v>1</v>
      </c>
      <c r="S442">
        <f ca="1">IF(subscriptions[[#This Row],[churn_flag]]=1, DATEDIF(subscriptions[[#This Row],[signup_date]],subscriptions[[#This Row],[churn_date]],"M"), DATEDIF(subscriptions[[#This Row],[signup_date]],TODAY(),"M"))</f>
        <v>5</v>
      </c>
      <c r="T442">
        <f ca="1">subscriptions[[#This Row],[monthly_revenue]]*subscriptions[[#This Row],[customer_lifetime]]</f>
        <v>4717.3</v>
      </c>
      <c r="U442" t="str">
        <f>IF(subscriptions[[#This Row],[feature_usage_pct]]&lt;30,"High Risk",IF(subscriptions[[#This Row],[feature_usage_pct]]&lt;60,"Medium Risk","Low Risk"))</f>
        <v>Medium Risk</v>
      </c>
      <c r="V442">
        <f ca="1">subscriptions[[#This Row],[CLV]]/200</f>
        <v>23.586500000000001</v>
      </c>
    </row>
    <row r="443" spans="1:22" x14ac:dyDescent="0.25">
      <c r="A443" t="s">
        <v>496</v>
      </c>
      <c r="B443" t="s">
        <v>36</v>
      </c>
      <c r="C443" t="s">
        <v>28</v>
      </c>
      <c r="D443" t="s">
        <v>52</v>
      </c>
      <c r="E443" s="2" t="s">
        <v>21</v>
      </c>
      <c r="F443">
        <v>54</v>
      </c>
      <c r="G443">
        <v>1513.89</v>
      </c>
      <c r="H443" t="s">
        <v>60</v>
      </c>
      <c r="I443" t="s">
        <v>55</v>
      </c>
      <c r="J443" s="1">
        <v>45387</v>
      </c>
      <c r="K443" t="s">
        <v>26</v>
      </c>
      <c r="N443">
        <v>10</v>
      </c>
      <c r="O443">
        <v>10</v>
      </c>
      <c r="P443">
        <v>33</v>
      </c>
      <c r="Q443" t="s">
        <v>24</v>
      </c>
      <c r="R443">
        <f>IF(subscriptions[[#This Row],[churned]]="Yes",1,0)</f>
        <v>0</v>
      </c>
      <c r="S443">
        <f ca="1">IF(subscriptions[[#This Row],[churn_flag]]=1, DATEDIF(subscriptions[[#This Row],[signup_date]],subscriptions[[#This Row],[churn_date]],"M"), DATEDIF(subscriptions[[#This Row],[signup_date]],TODAY(),"M"))</f>
        <v>25</v>
      </c>
      <c r="T443">
        <f ca="1">subscriptions[[#This Row],[monthly_revenue]]*subscriptions[[#This Row],[customer_lifetime]]</f>
        <v>37847.25</v>
      </c>
      <c r="U443" t="str">
        <f>IF(subscriptions[[#This Row],[feature_usage_pct]]&lt;30,"High Risk",IF(subscriptions[[#This Row],[feature_usage_pct]]&lt;60,"Medium Risk","Low Risk"))</f>
        <v>Medium Risk</v>
      </c>
      <c r="V443">
        <f ca="1">subscriptions[[#This Row],[CLV]]/200</f>
        <v>189.23625000000001</v>
      </c>
    </row>
    <row r="444" spans="1:22" x14ac:dyDescent="0.25">
      <c r="A444" t="s">
        <v>497</v>
      </c>
      <c r="B444" t="s">
        <v>18</v>
      </c>
      <c r="C444" t="s">
        <v>19</v>
      </c>
      <c r="D444" t="s">
        <v>68</v>
      </c>
      <c r="E444" s="2" t="s">
        <v>21</v>
      </c>
      <c r="F444">
        <v>58</v>
      </c>
      <c r="G444">
        <v>754.45</v>
      </c>
      <c r="H444" t="s">
        <v>22</v>
      </c>
      <c r="I444" t="s">
        <v>23</v>
      </c>
      <c r="J444" s="1">
        <v>45105</v>
      </c>
      <c r="K444" t="s">
        <v>26</v>
      </c>
      <c r="N444">
        <v>11</v>
      </c>
      <c r="O444">
        <v>5</v>
      </c>
      <c r="P444">
        <v>84</v>
      </c>
      <c r="Q444" t="s">
        <v>26</v>
      </c>
      <c r="R444">
        <f>IF(subscriptions[[#This Row],[churned]]="Yes",1,0)</f>
        <v>0</v>
      </c>
      <c r="S444">
        <f ca="1">IF(subscriptions[[#This Row],[churn_flag]]=1, DATEDIF(subscriptions[[#This Row],[signup_date]],subscriptions[[#This Row],[churn_date]],"M"), DATEDIF(subscriptions[[#This Row],[signup_date]],TODAY(),"M"))</f>
        <v>34</v>
      </c>
      <c r="T444">
        <f ca="1">subscriptions[[#This Row],[monthly_revenue]]*subscriptions[[#This Row],[customer_lifetime]]</f>
        <v>25651.300000000003</v>
      </c>
      <c r="U444" t="str">
        <f>IF(subscriptions[[#This Row],[feature_usage_pct]]&lt;30,"High Risk",IF(subscriptions[[#This Row],[feature_usage_pct]]&lt;60,"Medium Risk","Low Risk"))</f>
        <v>Low Risk</v>
      </c>
      <c r="V444">
        <f ca="1">subscriptions[[#This Row],[CLV]]/200</f>
        <v>128.25650000000002</v>
      </c>
    </row>
    <row r="445" spans="1:22" x14ac:dyDescent="0.25">
      <c r="A445" t="s">
        <v>498</v>
      </c>
      <c r="B445" t="s">
        <v>36</v>
      </c>
      <c r="C445" t="s">
        <v>19</v>
      </c>
      <c r="D445" t="s">
        <v>62</v>
      </c>
      <c r="E445" s="2" t="s">
        <v>664</v>
      </c>
      <c r="F445">
        <v>5</v>
      </c>
      <c r="G445">
        <v>318.39999999999998</v>
      </c>
      <c r="H445" t="s">
        <v>22</v>
      </c>
      <c r="I445" t="s">
        <v>69</v>
      </c>
      <c r="J445" s="1">
        <v>45223</v>
      </c>
      <c r="K445" t="s">
        <v>26</v>
      </c>
      <c r="N445">
        <v>9</v>
      </c>
      <c r="O445">
        <v>9</v>
      </c>
      <c r="P445">
        <v>59</v>
      </c>
      <c r="Q445" t="s">
        <v>24</v>
      </c>
      <c r="R445">
        <f>IF(subscriptions[[#This Row],[churned]]="Yes",1,0)</f>
        <v>0</v>
      </c>
      <c r="S445">
        <f ca="1">IF(subscriptions[[#This Row],[churn_flag]]=1, DATEDIF(subscriptions[[#This Row],[signup_date]],subscriptions[[#This Row],[churn_date]],"M"), DATEDIF(subscriptions[[#This Row],[signup_date]],TODAY(),"M"))</f>
        <v>30</v>
      </c>
      <c r="T445">
        <f ca="1">subscriptions[[#This Row],[monthly_revenue]]*subscriptions[[#This Row],[customer_lifetime]]</f>
        <v>9552</v>
      </c>
      <c r="U445" t="str">
        <f>IF(subscriptions[[#This Row],[feature_usage_pct]]&lt;30,"High Risk",IF(subscriptions[[#This Row],[feature_usage_pct]]&lt;60,"Medium Risk","Low Risk"))</f>
        <v>Medium Risk</v>
      </c>
      <c r="V445">
        <f ca="1">subscriptions[[#This Row],[CLV]]/200</f>
        <v>47.76</v>
      </c>
    </row>
    <row r="446" spans="1:22" x14ac:dyDescent="0.25">
      <c r="A446" t="s">
        <v>499</v>
      </c>
      <c r="B446" t="s">
        <v>31</v>
      </c>
      <c r="C446" t="s">
        <v>19</v>
      </c>
      <c r="D446" t="s">
        <v>37</v>
      </c>
      <c r="E446" s="2" t="s">
        <v>33</v>
      </c>
      <c r="F446">
        <v>254</v>
      </c>
      <c r="G446">
        <v>1129.55</v>
      </c>
      <c r="H446" t="s">
        <v>43</v>
      </c>
      <c r="I446" t="s">
        <v>23</v>
      </c>
      <c r="J446" s="1">
        <v>45779</v>
      </c>
      <c r="K446" t="s">
        <v>26</v>
      </c>
      <c r="N446">
        <v>2</v>
      </c>
      <c r="O446">
        <v>7</v>
      </c>
      <c r="P446">
        <v>42</v>
      </c>
      <c r="Q446" t="s">
        <v>26</v>
      </c>
      <c r="R446">
        <f>IF(subscriptions[[#This Row],[churned]]="Yes",1,0)</f>
        <v>0</v>
      </c>
      <c r="S446">
        <f ca="1">IF(subscriptions[[#This Row],[churn_flag]]=1, DATEDIF(subscriptions[[#This Row],[signup_date]],subscriptions[[#This Row],[churn_date]],"M"), DATEDIF(subscriptions[[#This Row],[signup_date]],TODAY(),"M"))</f>
        <v>12</v>
      </c>
      <c r="T446">
        <f ca="1">subscriptions[[#This Row],[monthly_revenue]]*subscriptions[[#This Row],[customer_lifetime]]</f>
        <v>13554.599999999999</v>
      </c>
      <c r="U446" t="str">
        <f>IF(subscriptions[[#This Row],[feature_usage_pct]]&lt;30,"High Risk",IF(subscriptions[[#This Row],[feature_usage_pct]]&lt;60,"Medium Risk","Low Risk"))</f>
        <v>Medium Risk</v>
      </c>
      <c r="V446">
        <f ca="1">subscriptions[[#This Row],[CLV]]/200</f>
        <v>67.772999999999996</v>
      </c>
    </row>
    <row r="447" spans="1:22" x14ac:dyDescent="0.25">
      <c r="A447" t="s">
        <v>500</v>
      </c>
      <c r="B447" t="s">
        <v>36</v>
      </c>
      <c r="C447" t="s">
        <v>19</v>
      </c>
      <c r="D447" t="s">
        <v>42</v>
      </c>
      <c r="E447" s="2" t="s">
        <v>21</v>
      </c>
      <c r="F447">
        <v>30</v>
      </c>
      <c r="G447">
        <v>1064.6500000000001</v>
      </c>
      <c r="H447" t="s">
        <v>60</v>
      </c>
      <c r="I447" t="s">
        <v>38</v>
      </c>
      <c r="J447" s="1">
        <v>45072</v>
      </c>
      <c r="K447" t="s">
        <v>24</v>
      </c>
      <c r="L447" s="1">
        <v>45364</v>
      </c>
      <c r="M447" t="s">
        <v>25</v>
      </c>
      <c r="N447">
        <v>10</v>
      </c>
      <c r="O447">
        <v>3</v>
      </c>
      <c r="P447">
        <v>44</v>
      </c>
      <c r="Q447" t="s">
        <v>26</v>
      </c>
      <c r="R447">
        <f>IF(subscriptions[[#This Row],[churned]]="Yes",1,0)</f>
        <v>1</v>
      </c>
      <c r="S447">
        <f ca="1">IF(subscriptions[[#This Row],[churn_flag]]=1, DATEDIF(subscriptions[[#This Row],[signup_date]],subscriptions[[#This Row],[churn_date]],"M"), DATEDIF(subscriptions[[#This Row],[signup_date]],TODAY(),"M"))</f>
        <v>9</v>
      </c>
      <c r="T447">
        <f ca="1">subscriptions[[#This Row],[monthly_revenue]]*subscriptions[[#This Row],[customer_lifetime]]</f>
        <v>9581.85</v>
      </c>
      <c r="U447" t="str">
        <f>IF(subscriptions[[#This Row],[feature_usage_pct]]&lt;30,"High Risk",IF(subscriptions[[#This Row],[feature_usage_pct]]&lt;60,"Medium Risk","Low Risk"))</f>
        <v>Medium Risk</v>
      </c>
      <c r="V447">
        <f ca="1">subscriptions[[#This Row],[CLV]]/200</f>
        <v>47.90925</v>
      </c>
    </row>
    <row r="448" spans="1:22" x14ac:dyDescent="0.25">
      <c r="A448" t="s">
        <v>501</v>
      </c>
      <c r="B448" t="s">
        <v>31</v>
      </c>
      <c r="C448" t="s">
        <v>19</v>
      </c>
      <c r="D448" t="s">
        <v>42</v>
      </c>
      <c r="E448" s="2" t="s">
        <v>664</v>
      </c>
      <c r="F448">
        <v>5</v>
      </c>
      <c r="G448">
        <v>46.4</v>
      </c>
      <c r="H448" t="s">
        <v>29</v>
      </c>
      <c r="I448" t="s">
        <v>55</v>
      </c>
      <c r="J448" s="1">
        <v>45216</v>
      </c>
      <c r="K448" t="s">
        <v>26</v>
      </c>
      <c r="N448">
        <v>0</v>
      </c>
      <c r="O448">
        <v>9</v>
      </c>
      <c r="P448">
        <v>46</v>
      </c>
      <c r="Q448" t="s">
        <v>26</v>
      </c>
      <c r="R448">
        <f>IF(subscriptions[[#This Row],[churned]]="Yes",1,0)</f>
        <v>0</v>
      </c>
      <c r="S448">
        <f ca="1">IF(subscriptions[[#This Row],[churn_flag]]=1, DATEDIF(subscriptions[[#This Row],[signup_date]],subscriptions[[#This Row],[churn_date]],"M"), DATEDIF(subscriptions[[#This Row],[signup_date]],TODAY(),"M"))</f>
        <v>30</v>
      </c>
      <c r="T448">
        <f ca="1">subscriptions[[#This Row],[monthly_revenue]]*subscriptions[[#This Row],[customer_lifetime]]</f>
        <v>1392</v>
      </c>
      <c r="U448" t="str">
        <f>IF(subscriptions[[#This Row],[feature_usage_pct]]&lt;30,"High Risk",IF(subscriptions[[#This Row],[feature_usage_pct]]&lt;60,"Medium Risk","Low Risk"))</f>
        <v>Medium Risk</v>
      </c>
      <c r="V448">
        <f ca="1">subscriptions[[#This Row],[CLV]]/200</f>
        <v>6.96</v>
      </c>
    </row>
    <row r="449" spans="1:22" x14ac:dyDescent="0.25">
      <c r="A449" t="s">
        <v>502</v>
      </c>
      <c r="B449" t="s">
        <v>36</v>
      </c>
      <c r="C449" t="s">
        <v>19</v>
      </c>
      <c r="D449" t="s">
        <v>62</v>
      </c>
      <c r="E449" s="2" t="s">
        <v>663</v>
      </c>
      <c r="F449">
        <v>31</v>
      </c>
      <c r="G449">
        <v>1094.5</v>
      </c>
      <c r="H449" t="s">
        <v>60</v>
      </c>
      <c r="I449" t="s">
        <v>23</v>
      </c>
      <c r="J449" s="1">
        <v>45658</v>
      </c>
      <c r="K449" t="s">
        <v>26</v>
      </c>
      <c r="N449">
        <v>1</v>
      </c>
      <c r="O449">
        <v>9</v>
      </c>
      <c r="P449">
        <v>69</v>
      </c>
      <c r="Q449" t="s">
        <v>26</v>
      </c>
      <c r="R449">
        <f>IF(subscriptions[[#This Row],[churned]]="Yes",1,0)</f>
        <v>0</v>
      </c>
      <c r="S449">
        <f ca="1">IF(subscriptions[[#This Row],[churn_flag]]=1, DATEDIF(subscriptions[[#This Row],[signup_date]],subscriptions[[#This Row],[churn_date]],"M"), DATEDIF(subscriptions[[#This Row],[signup_date]],TODAY(),"M"))</f>
        <v>16</v>
      </c>
      <c r="T449">
        <f ca="1">subscriptions[[#This Row],[monthly_revenue]]*subscriptions[[#This Row],[customer_lifetime]]</f>
        <v>17512</v>
      </c>
      <c r="U449" t="str">
        <f>IF(subscriptions[[#This Row],[feature_usage_pct]]&lt;30,"High Risk",IF(subscriptions[[#This Row],[feature_usage_pct]]&lt;60,"Medium Risk","Low Risk"))</f>
        <v>Low Risk</v>
      </c>
      <c r="V449">
        <f ca="1">subscriptions[[#This Row],[CLV]]/200</f>
        <v>87.56</v>
      </c>
    </row>
    <row r="450" spans="1:22" x14ac:dyDescent="0.25">
      <c r="A450" t="s">
        <v>503</v>
      </c>
      <c r="B450" t="s">
        <v>36</v>
      </c>
      <c r="C450" t="s">
        <v>19</v>
      </c>
      <c r="D450" t="s">
        <v>52</v>
      </c>
      <c r="E450" s="2" t="s">
        <v>33</v>
      </c>
      <c r="F450">
        <v>71</v>
      </c>
      <c r="G450">
        <v>2288.5</v>
      </c>
      <c r="H450" t="s">
        <v>60</v>
      </c>
      <c r="I450" t="s">
        <v>38</v>
      </c>
      <c r="J450" s="1">
        <v>45334</v>
      </c>
      <c r="K450" t="s">
        <v>24</v>
      </c>
      <c r="L450" s="1">
        <v>45360</v>
      </c>
      <c r="M450" t="s">
        <v>63</v>
      </c>
      <c r="N450">
        <v>7</v>
      </c>
      <c r="O450">
        <v>2</v>
      </c>
      <c r="P450">
        <v>24</v>
      </c>
      <c r="Q450" t="s">
        <v>26</v>
      </c>
      <c r="R450">
        <f>IF(subscriptions[[#This Row],[churned]]="Yes",1,0)</f>
        <v>1</v>
      </c>
      <c r="S450">
        <f ca="1">IF(subscriptions[[#This Row],[churn_flag]]=1, DATEDIF(subscriptions[[#This Row],[signup_date]],subscriptions[[#This Row],[churn_date]],"M"), DATEDIF(subscriptions[[#This Row],[signup_date]],TODAY(),"M"))</f>
        <v>0</v>
      </c>
      <c r="T450">
        <f ca="1">subscriptions[[#This Row],[monthly_revenue]]*subscriptions[[#This Row],[customer_lifetime]]</f>
        <v>0</v>
      </c>
      <c r="U450" t="str">
        <f>IF(subscriptions[[#This Row],[feature_usage_pct]]&lt;30,"High Risk",IF(subscriptions[[#This Row],[feature_usage_pct]]&lt;60,"Medium Risk","Low Risk"))</f>
        <v>High Risk</v>
      </c>
      <c r="V450">
        <f ca="1">subscriptions[[#This Row],[CLV]]/200</f>
        <v>0</v>
      </c>
    </row>
    <row r="451" spans="1:22" x14ac:dyDescent="0.25">
      <c r="A451" t="s">
        <v>504</v>
      </c>
      <c r="B451" t="s">
        <v>18</v>
      </c>
      <c r="C451" t="s">
        <v>28</v>
      </c>
      <c r="D451" t="s">
        <v>20</v>
      </c>
      <c r="E451" s="2" t="s">
        <v>663</v>
      </c>
      <c r="F451">
        <v>8</v>
      </c>
      <c r="G451">
        <v>137.66</v>
      </c>
      <c r="H451" t="s">
        <v>34</v>
      </c>
      <c r="I451" t="s">
        <v>23</v>
      </c>
      <c r="J451" s="1">
        <v>46019</v>
      </c>
      <c r="K451" t="s">
        <v>26</v>
      </c>
      <c r="N451">
        <v>0</v>
      </c>
      <c r="O451">
        <v>8</v>
      </c>
      <c r="P451">
        <v>38</v>
      </c>
      <c r="Q451" t="s">
        <v>26</v>
      </c>
      <c r="R451">
        <f>IF(subscriptions[[#This Row],[churned]]="Yes",1,0)</f>
        <v>0</v>
      </c>
      <c r="S451">
        <f ca="1">IF(subscriptions[[#This Row],[churn_flag]]=1, DATEDIF(subscriptions[[#This Row],[signup_date]],subscriptions[[#This Row],[churn_date]],"M"), DATEDIF(subscriptions[[#This Row],[signup_date]],TODAY(),"M"))</f>
        <v>4</v>
      </c>
      <c r="T451">
        <f ca="1">subscriptions[[#This Row],[monthly_revenue]]*subscriptions[[#This Row],[customer_lifetime]]</f>
        <v>550.64</v>
      </c>
      <c r="U451" t="str">
        <f>IF(subscriptions[[#This Row],[feature_usage_pct]]&lt;30,"High Risk",IF(subscriptions[[#This Row],[feature_usage_pct]]&lt;60,"Medium Risk","Low Risk"))</f>
        <v>Medium Risk</v>
      </c>
      <c r="V451">
        <f ca="1">subscriptions[[#This Row],[CLV]]/200</f>
        <v>2.7532000000000001</v>
      </c>
    </row>
    <row r="452" spans="1:22" x14ac:dyDescent="0.25">
      <c r="A452" t="s">
        <v>505</v>
      </c>
      <c r="B452" t="s">
        <v>36</v>
      </c>
      <c r="C452" t="s">
        <v>19</v>
      </c>
      <c r="D452" t="s">
        <v>68</v>
      </c>
      <c r="E452" s="2" t="s">
        <v>663</v>
      </c>
      <c r="F452">
        <v>27</v>
      </c>
      <c r="G452">
        <v>975.1</v>
      </c>
      <c r="H452" t="s">
        <v>34</v>
      </c>
      <c r="I452" t="s">
        <v>23</v>
      </c>
      <c r="J452" s="1">
        <v>44986</v>
      </c>
      <c r="K452" t="s">
        <v>26</v>
      </c>
      <c r="N452">
        <v>3</v>
      </c>
      <c r="O452">
        <v>4</v>
      </c>
      <c r="P452">
        <v>89</v>
      </c>
      <c r="Q452" t="s">
        <v>26</v>
      </c>
      <c r="R452">
        <f>IF(subscriptions[[#This Row],[churned]]="Yes",1,0)</f>
        <v>0</v>
      </c>
      <c r="S452">
        <f ca="1">IF(subscriptions[[#This Row],[churn_flag]]=1, DATEDIF(subscriptions[[#This Row],[signup_date]],subscriptions[[#This Row],[churn_date]],"M"), DATEDIF(subscriptions[[#This Row],[signup_date]],TODAY(),"M"))</f>
        <v>38</v>
      </c>
      <c r="T452">
        <f ca="1">subscriptions[[#This Row],[monthly_revenue]]*subscriptions[[#This Row],[customer_lifetime]]</f>
        <v>37053.800000000003</v>
      </c>
      <c r="U452" t="str">
        <f>IF(subscriptions[[#This Row],[feature_usage_pct]]&lt;30,"High Risk",IF(subscriptions[[#This Row],[feature_usage_pct]]&lt;60,"Medium Risk","Low Risk"))</f>
        <v>Low Risk</v>
      </c>
      <c r="V452">
        <f ca="1">subscriptions[[#This Row],[CLV]]/200</f>
        <v>185.26900000000001</v>
      </c>
    </row>
    <row r="453" spans="1:22" x14ac:dyDescent="0.25">
      <c r="A453" t="s">
        <v>506</v>
      </c>
      <c r="B453" t="s">
        <v>18</v>
      </c>
      <c r="C453" t="s">
        <v>19</v>
      </c>
      <c r="D453" t="s">
        <v>42</v>
      </c>
      <c r="E453" s="2" t="s">
        <v>663</v>
      </c>
      <c r="F453">
        <v>12</v>
      </c>
      <c r="G453">
        <v>209.35</v>
      </c>
      <c r="H453" t="s">
        <v>60</v>
      </c>
      <c r="I453" t="s">
        <v>23</v>
      </c>
      <c r="J453" s="1">
        <v>45821</v>
      </c>
      <c r="K453" t="s">
        <v>26</v>
      </c>
      <c r="N453">
        <v>2</v>
      </c>
      <c r="O453">
        <v>7</v>
      </c>
      <c r="P453">
        <v>82</v>
      </c>
      <c r="Q453" t="s">
        <v>26</v>
      </c>
      <c r="R453">
        <f>IF(subscriptions[[#This Row],[churned]]="Yes",1,0)</f>
        <v>0</v>
      </c>
      <c r="S453">
        <f ca="1">IF(subscriptions[[#This Row],[churn_flag]]=1, DATEDIF(subscriptions[[#This Row],[signup_date]],subscriptions[[#This Row],[churn_date]],"M"), DATEDIF(subscriptions[[#This Row],[signup_date]],TODAY(),"M"))</f>
        <v>11</v>
      </c>
      <c r="T453">
        <f ca="1">subscriptions[[#This Row],[monthly_revenue]]*subscriptions[[#This Row],[customer_lifetime]]</f>
        <v>2302.85</v>
      </c>
      <c r="U453" t="str">
        <f>IF(subscriptions[[#This Row],[feature_usage_pct]]&lt;30,"High Risk",IF(subscriptions[[#This Row],[feature_usage_pct]]&lt;60,"Medium Risk","Low Risk"))</f>
        <v>Low Risk</v>
      </c>
      <c r="V453">
        <f ca="1">subscriptions[[#This Row],[CLV]]/200</f>
        <v>11.514249999999999</v>
      </c>
    </row>
    <row r="454" spans="1:22" x14ac:dyDescent="0.25">
      <c r="A454" t="s">
        <v>507</v>
      </c>
      <c r="B454" t="s">
        <v>31</v>
      </c>
      <c r="C454" t="s">
        <v>19</v>
      </c>
      <c r="D454" t="s">
        <v>20</v>
      </c>
      <c r="E454" s="2" t="s">
        <v>664</v>
      </c>
      <c r="F454">
        <v>1</v>
      </c>
      <c r="G454">
        <v>29</v>
      </c>
      <c r="H454" t="s">
        <v>29</v>
      </c>
      <c r="I454" t="s">
        <v>69</v>
      </c>
      <c r="J454" s="1">
        <v>45193</v>
      </c>
      <c r="K454" t="s">
        <v>24</v>
      </c>
      <c r="L454" s="1">
        <v>45220</v>
      </c>
      <c r="M454" t="s">
        <v>56</v>
      </c>
      <c r="N454">
        <v>2</v>
      </c>
      <c r="O454">
        <v>1</v>
      </c>
      <c r="P454">
        <v>27</v>
      </c>
      <c r="Q454" t="s">
        <v>26</v>
      </c>
      <c r="R454">
        <f>IF(subscriptions[[#This Row],[churned]]="Yes",1,0)</f>
        <v>1</v>
      </c>
      <c r="S454">
        <f ca="1">IF(subscriptions[[#This Row],[churn_flag]]=1, DATEDIF(subscriptions[[#This Row],[signup_date]],subscriptions[[#This Row],[churn_date]],"M"), DATEDIF(subscriptions[[#This Row],[signup_date]],TODAY(),"M"))</f>
        <v>0</v>
      </c>
      <c r="T454">
        <f ca="1">subscriptions[[#This Row],[monthly_revenue]]*subscriptions[[#This Row],[customer_lifetime]]</f>
        <v>0</v>
      </c>
      <c r="U454" t="str">
        <f>IF(subscriptions[[#This Row],[feature_usage_pct]]&lt;30,"High Risk",IF(subscriptions[[#This Row],[feature_usage_pct]]&lt;60,"Medium Risk","Low Risk"))</f>
        <v>High Risk</v>
      </c>
      <c r="V454">
        <f ca="1">subscriptions[[#This Row],[CLV]]/200</f>
        <v>0</v>
      </c>
    </row>
    <row r="455" spans="1:22" x14ac:dyDescent="0.25">
      <c r="A455" t="s">
        <v>508</v>
      </c>
      <c r="B455" t="s">
        <v>31</v>
      </c>
      <c r="C455" t="s">
        <v>19</v>
      </c>
      <c r="D455" t="s">
        <v>49</v>
      </c>
      <c r="E455" s="2" t="s">
        <v>664</v>
      </c>
      <c r="F455">
        <v>1</v>
      </c>
      <c r="G455">
        <v>29</v>
      </c>
      <c r="H455" t="s">
        <v>60</v>
      </c>
      <c r="I455" t="s">
        <v>38</v>
      </c>
      <c r="J455" s="1">
        <v>45847</v>
      </c>
      <c r="K455" t="s">
        <v>24</v>
      </c>
      <c r="L455" s="1">
        <v>45988</v>
      </c>
      <c r="M455" t="s">
        <v>53</v>
      </c>
      <c r="N455">
        <v>12</v>
      </c>
      <c r="O455">
        <v>3</v>
      </c>
      <c r="P455">
        <v>49</v>
      </c>
      <c r="Q455" t="s">
        <v>26</v>
      </c>
      <c r="R455">
        <f>IF(subscriptions[[#This Row],[churned]]="Yes",1,0)</f>
        <v>1</v>
      </c>
      <c r="S455">
        <f ca="1">IF(subscriptions[[#This Row],[churn_flag]]=1, DATEDIF(subscriptions[[#This Row],[signup_date]],subscriptions[[#This Row],[churn_date]],"M"), DATEDIF(subscriptions[[#This Row],[signup_date]],TODAY(),"M"))</f>
        <v>4</v>
      </c>
      <c r="T455">
        <f ca="1">subscriptions[[#This Row],[monthly_revenue]]*subscriptions[[#This Row],[customer_lifetime]]</f>
        <v>116</v>
      </c>
      <c r="U455" t="str">
        <f>IF(subscriptions[[#This Row],[feature_usage_pct]]&lt;30,"High Risk",IF(subscriptions[[#This Row],[feature_usage_pct]]&lt;60,"Medium Risk","Low Risk"))</f>
        <v>Medium Risk</v>
      </c>
      <c r="V455">
        <f ca="1">subscriptions[[#This Row],[CLV]]/200</f>
        <v>0.57999999999999996</v>
      </c>
    </row>
    <row r="456" spans="1:22" x14ac:dyDescent="0.25">
      <c r="A456" t="s">
        <v>509</v>
      </c>
      <c r="B456" t="s">
        <v>31</v>
      </c>
      <c r="C456" t="s">
        <v>19</v>
      </c>
      <c r="D456" t="s">
        <v>52</v>
      </c>
      <c r="E456" s="2" t="s">
        <v>663</v>
      </c>
      <c r="F456">
        <v>8</v>
      </c>
      <c r="G456">
        <v>59.45</v>
      </c>
      <c r="H456" t="s">
        <v>22</v>
      </c>
      <c r="I456" t="s">
        <v>38</v>
      </c>
      <c r="J456" s="1">
        <v>45900</v>
      </c>
      <c r="K456" t="s">
        <v>26</v>
      </c>
      <c r="N456">
        <v>4</v>
      </c>
      <c r="O456">
        <v>7</v>
      </c>
      <c r="P456">
        <v>34</v>
      </c>
      <c r="Q456" t="s">
        <v>26</v>
      </c>
      <c r="R456">
        <f>IF(subscriptions[[#This Row],[churned]]="Yes",1,0)</f>
        <v>0</v>
      </c>
      <c r="S456">
        <f ca="1">IF(subscriptions[[#This Row],[churn_flag]]=1, DATEDIF(subscriptions[[#This Row],[signup_date]],subscriptions[[#This Row],[churn_date]],"M"), DATEDIF(subscriptions[[#This Row],[signup_date]],TODAY(),"M"))</f>
        <v>8</v>
      </c>
      <c r="T456">
        <f ca="1">subscriptions[[#This Row],[monthly_revenue]]*subscriptions[[#This Row],[customer_lifetime]]</f>
        <v>475.6</v>
      </c>
      <c r="U456" t="str">
        <f>IF(subscriptions[[#This Row],[feature_usage_pct]]&lt;30,"High Risk",IF(subscriptions[[#This Row],[feature_usage_pct]]&lt;60,"Medium Risk","Low Risk"))</f>
        <v>Medium Risk</v>
      </c>
      <c r="V456">
        <f ca="1">subscriptions[[#This Row],[CLV]]/200</f>
        <v>2.3780000000000001</v>
      </c>
    </row>
    <row r="457" spans="1:22" x14ac:dyDescent="0.25">
      <c r="A457" t="s">
        <v>510</v>
      </c>
      <c r="B457" t="s">
        <v>18</v>
      </c>
      <c r="C457" t="s">
        <v>28</v>
      </c>
      <c r="D457" t="s">
        <v>62</v>
      </c>
      <c r="E457" s="2" t="s">
        <v>664</v>
      </c>
      <c r="F457">
        <v>4</v>
      </c>
      <c r="G457">
        <v>97.37</v>
      </c>
      <c r="H457" t="s">
        <v>29</v>
      </c>
      <c r="I457" t="s">
        <v>23</v>
      </c>
      <c r="J457" s="1">
        <v>45063</v>
      </c>
      <c r="K457" t="s">
        <v>26</v>
      </c>
      <c r="N457">
        <v>6</v>
      </c>
      <c r="O457">
        <v>8</v>
      </c>
      <c r="P457">
        <v>53</v>
      </c>
      <c r="Q457" t="s">
        <v>26</v>
      </c>
      <c r="R457">
        <f>IF(subscriptions[[#This Row],[churned]]="Yes",1,0)</f>
        <v>0</v>
      </c>
      <c r="S457">
        <f ca="1">IF(subscriptions[[#This Row],[churn_flag]]=1, DATEDIF(subscriptions[[#This Row],[signup_date]],subscriptions[[#This Row],[churn_date]],"M"), DATEDIF(subscriptions[[#This Row],[signup_date]],TODAY(),"M"))</f>
        <v>35</v>
      </c>
      <c r="T457">
        <f ca="1">subscriptions[[#This Row],[monthly_revenue]]*subscriptions[[#This Row],[customer_lifetime]]</f>
        <v>3407.9500000000003</v>
      </c>
      <c r="U457" t="str">
        <f>IF(subscriptions[[#This Row],[feature_usage_pct]]&lt;30,"High Risk",IF(subscriptions[[#This Row],[feature_usage_pct]]&lt;60,"Medium Risk","Low Risk"))</f>
        <v>Medium Risk</v>
      </c>
      <c r="V457">
        <f ca="1">subscriptions[[#This Row],[CLV]]/200</f>
        <v>17.039750000000002</v>
      </c>
    </row>
    <row r="458" spans="1:22" x14ac:dyDescent="0.25">
      <c r="A458" t="s">
        <v>511</v>
      </c>
      <c r="B458" t="s">
        <v>18</v>
      </c>
      <c r="C458" t="s">
        <v>28</v>
      </c>
      <c r="D458" t="s">
        <v>68</v>
      </c>
      <c r="E458" s="2" t="s">
        <v>21</v>
      </c>
      <c r="F458">
        <v>39</v>
      </c>
      <c r="G458">
        <v>449.9</v>
      </c>
      <c r="H458" t="s">
        <v>29</v>
      </c>
      <c r="I458" t="s">
        <v>55</v>
      </c>
      <c r="J458" s="1">
        <v>45380</v>
      </c>
      <c r="K458" t="s">
        <v>26</v>
      </c>
      <c r="N458">
        <v>0</v>
      </c>
      <c r="O458">
        <v>5</v>
      </c>
      <c r="P458">
        <v>58</v>
      </c>
      <c r="Q458" t="s">
        <v>26</v>
      </c>
      <c r="R458">
        <f>IF(subscriptions[[#This Row],[churned]]="Yes",1,0)</f>
        <v>0</v>
      </c>
      <c r="S458">
        <f ca="1">IF(subscriptions[[#This Row],[churn_flag]]=1, DATEDIF(subscriptions[[#This Row],[signup_date]],subscriptions[[#This Row],[churn_date]],"M"), DATEDIF(subscriptions[[#This Row],[signup_date]],TODAY(),"M"))</f>
        <v>25</v>
      </c>
      <c r="T458">
        <f ca="1">subscriptions[[#This Row],[monthly_revenue]]*subscriptions[[#This Row],[customer_lifetime]]</f>
        <v>11247.5</v>
      </c>
      <c r="U458" t="str">
        <f>IF(subscriptions[[#This Row],[feature_usage_pct]]&lt;30,"High Risk",IF(subscriptions[[#This Row],[feature_usage_pct]]&lt;60,"Medium Risk","Low Risk"))</f>
        <v>Medium Risk</v>
      </c>
      <c r="V458">
        <f ca="1">subscriptions[[#This Row],[CLV]]/200</f>
        <v>56.237499999999997</v>
      </c>
    </row>
    <row r="459" spans="1:22" x14ac:dyDescent="0.25">
      <c r="A459" t="s">
        <v>512</v>
      </c>
      <c r="B459" t="s">
        <v>36</v>
      </c>
      <c r="C459" t="s">
        <v>28</v>
      </c>
      <c r="D459" t="s">
        <v>40</v>
      </c>
      <c r="E459" s="2" t="s">
        <v>45</v>
      </c>
      <c r="F459">
        <v>73</v>
      </c>
      <c r="G459">
        <v>1995.97</v>
      </c>
      <c r="H459" t="s">
        <v>43</v>
      </c>
      <c r="I459" t="s">
        <v>23</v>
      </c>
      <c r="J459" s="1">
        <v>45749</v>
      </c>
      <c r="K459" t="s">
        <v>26</v>
      </c>
      <c r="N459">
        <v>12</v>
      </c>
      <c r="O459">
        <v>1</v>
      </c>
      <c r="P459">
        <v>15</v>
      </c>
      <c r="Q459" t="s">
        <v>24</v>
      </c>
      <c r="R459">
        <f>IF(subscriptions[[#This Row],[churned]]="Yes",1,0)</f>
        <v>0</v>
      </c>
      <c r="S459">
        <f ca="1">IF(subscriptions[[#This Row],[churn_flag]]=1, DATEDIF(subscriptions[[#This Row],[signup_date]],subscriptions[[#This Row],[churn_date]],"M"), DATEDIF(subscriptions[[#This Row],[signup_date]],TODAY(),"M"))</f>
        <v>13</v>
      </c>
      <c r="T459">
        <f ca="1">subscriptions[[#This Row],[monthly_revenue]]*subscriptions[[#This Row],[customer_lifetime]]</f>
        <v>25947.61</v>
      </c>
      <c r="U459" t="str">
        <f>IF(subscriptions[[#This Row],[feature_usage_pct]]&lt;30,"High Risk",IF(subscriptions[[#This Row],[feature_usage_pct]]&lt;60,"Medium Risk","Low Risk"))</f>
        <v>High Risk</v>
      </c>
      <c r="V459">
        <f ca="1">subscriptions[[#This Row],[CLV]]/200</f>
        <v>129.73805000000002</v>
      </c>
    </row>
    <row r="460" spans="1:22" x14ac:dyDescent="0.25">
      <c r="A460" t="s">
        <v>513</v>
      </c>
      <c r="B460" t="s">
        <v>18</v>
      </c>
      <c r="C460" t="s">
        <v>19</v>
      </c>
      <c r="D460" t="s">
        <v>37</v>
      </c>
      <c r="E460" s="2" t="s">
        <v>663</v>
      </c>
      <c r="F460">
        <v>7</v>
      </c>
      <c r="G460">
        <v>150.1</v>
      </c>
      <c r="H460" t="s">
        <v>34</v>
      </c>
      <c r="I460" t="s">
        <v>23</v>
      </c>
      <c r="J460" s="1">
        <v>44915</v>
      </c>
      <c r="K460" t="s">
        <v>24</v>
      </c>
      <c r="L460" s="1">
        <v>45232</v>
      </c>
      <c r="M460" t="s">
        <v>82</v>
      </c>
      <c r="N460">
        <v>5</v>
      </c>
      <c r="O460">
        <v>2</v>
      </c>
      <c r="P460">
        <v>12</v>
      </c>
      <c r="Q460" t="s">
        <v>26</v>
      </c>
      <c r="R460">
        <f>IF(subscriptions[[#This Row],[churned]]="Yes",1,0)</f>
        <v>1</v>
      </c>
      <c r="S460">
        <f ca="1">IF(subscriptions[[#This Row],[churn_flag]]=1, DATEDIF(subscriptions[[#This Row],[signup_date]],subscriptions[[#This Row],[churn_date]],"M"), DATEDIF(subscriptions[[#This Row],[signup_date]],TODAY(),"M"))</f>
        <v>10</v>
      </c>
      <c r="T460">
        <f ca="1">subscriptions[[#This Row],[monthly_revenue]]*subscriptions[[#This Row],[customer_lifetime]]</f>
        <v>1501</v>
      </c>
      <c r="U460" t="str">
        <f>IF(subscriptions[[#This Row],[feature_usage_pct]]&lt;30,"High Risk",IF(subscriptions[[#This Row],[feature_usage_pct]]&lt;60,"Medium Risk","Low Risk"))</f>
        <v>High Risk</v>
      </c>
      <c r="V460">
        <f ca="1">subscriptions[[#This Row],[CLV]]/200</f>
        <v>7.5049999999999999</v>
      </c>
    </row>
    <row r="461" spans="1:22" x14ac:dyDescent="0.25">
      <c r="A461" t="s">
        <v>514</v>
      </c>
      <c r="B461" t="s">
        <v>36</v>
      </c>
      <c r="C461" t="s">
        <v>28</v>
      </c>
      <c r="D461" t="s">
        <v>32</v>
      </c>
      <c r="E461" s="2" t="s">
        <v>663</v>
      </c>
      <c r="F461">
        <v>33</v>
      </c>
      <c r="G461">
        <v>981.07</v>
      </c>
      <c r="H461" t="s">
        <v>34</v>
      </c>
      <c r="I461" t="s">
        <v>55</v>
      </c>
      <c r="J461" s="1">
        <v>44964</v>
      </c>
      <c r="K461" t="s">
        <v>26</v>
      </c>
      <c r="N461">
        <v>1</v>
      </c>
      <c r="O461">
        <v>8</v>
      </c>
      <c r="P461">
        <v>89</v>
      </c>
      <c r="Q461" t="s">
        <v>26</v>
      </c>
      <c r="R461">
        <f>IF(subscriptions[[#This Row],[churned]]="Yes",1,0)</f>
        <v>0</v>
      </c>
      <c r="S461">
        <f ca="1">IF(subscriptions[[#This Row],[churn_flag]]=1, DATEDIF(subscriptions[[#This Row],[signup_date]],subscriptions[[#This Row],[churn_date]],"M"), DATEDIF(subscriptions[[#This Row],[signup_date]],TODAY(),"M"))</f>
        <v>39</v>
      </c>
      <c r="T461">
        <f ca="1">subscriptions[[#This Row],[monthly_revenue]]*subscriptions[[#This Row],[customer_lifetime]]</f>
        <v>38261.730000000003</v>
      </c>
      <c r="U461" t="str">
        <f>IF(subscriptions[[#This Row],[feature_usage_pct]]&lt;30,"High Risk",IF(subscriptions[[#This Row],[feature_usage_pct]]&lt;60,"Medium Risk","Low Risk"))</f>
        <v>Low Risk</v>
      </c>
      <c r="V461">
        <f ca="1">subscriptions[[#This Row],[CLV]]/200</f>
        <v>191.30865000000003</v>
      </c>
    </row>
    <row r="462" spans="1:22" x14ac:dyDescent="0.25">
      <c r="A462" t="s">
        <v>515</v>
      </c>
      <c r="B462" t="s">
        <v>31</v>
      </c>
      <c r="C462" t="s">
        <v>19</v>
      </c>
      <c r="D462" t="s">
        <v>62</v>
      </c>
      <c r="E462" s="2" t="s">
        <v>664</v>
      </c>
      <c r="F462">
        <v>3</v>
      </c>
      <c r="G462">
        <v>37.700000000000003</v>
      </c>
      <c r="H462" t="s">
        <v>34</v>
      </c>
      <c r="I462" t="s">
        <v>38</v>
      </c>
      <c r="J462" s="1">
        <v>45660</v>
      </c>
      <c r="K462" t="s">
        <v>26</v>
      </c>
      <c r="N462">
        <v>10</v>
      </c>
      <c r="O462">
        <v>7</v>
      </c>
      <c r="P462">
        <v>60</v>
      </c>
      <c r="Q462" t="s">
        <v>26</v>
      </c>
      <c r="R462">
        <f>IF(subscriptions[[#This Row],[churned]]="Yes",1,0)</f>
        <v>0</v>
      </c>
      <c r="S462">
        <f ca="1">IF(subscriptions[[#This Row],[churn_flag]]=1, DATEDIF(subscriptions[[#This Row],[signup_date]],subscriptions[[#This Row],[churn_date]],"M"), DATEDIF(subscriptions[[#This Row],[signup_date]],TODAY(),"M"))</f>
        <v>16</v>
      </c>
      <c r="T462">
        <f ca="1">subscriptions[[#This Row],[monthly_revenue]]*subscriptions[[#This Row],[customer_lifetime]]</f>
        <v>603.20000000000005</v>
      </c>
      <c r="U462" t="str">
        <f>IF(subscriptions[[#This Row],[feature_usage_pct]]&lt;30,"High Risk",IF(subscriptions[[#This Row],[feature_usage_pct]]&lt;60,"Medium Risk","Low Risk"))</f>
        <v>Low Risk</v>
      </c>
      <c r="V462">
        <f ca="1">subscriptions[[#This Row],[CLV]]/200</f>
        <v>3.016</v>
      </c>
    </row>
    <row r="463" spans="1:22" x14ac:dyDescent="0.25">
      <c r="A463" t="s">
        <v>516</v>
      </c>
      <c r="B463" t="s">
        <v>18</v>
      </c>
      <c r="C463" t="s">
        <v>28</v>
      </c>
      <c r="D463" t="s">
        <v>62</v>
      </c>
      <c r="E463" s="2" t="s">
        <v>664</v>
      </c>
      <c r="F463">
        <v>5</v>
      </c>
      <c r="G463">
        <v>107.44</v>
      </c>
      <c r="H463" t="s">
        <v>29</v>
      </c>
      <c r="I463" t="s">
        <v>38</v>
      </c>
      <c r="J463" s="1">
        <v>45817</v>
      </c>
      <c r="K463" t="s">
        <v>26</v>
      </c>
      <c r="N463">
        <v>2</v>
      </c>
      <c r="O463">
        <v>9</v>
      </c>
      <c r="P463">
        <v>82</v>
      </c>
      <c r="Q463" t="s">
        <v>26</v>
      </c>
      <c r="R463">
        <f>IF(subscriptions[[#This Row],[churned]]="Yes",1,0)</f>
        <v>0</v>
      </c>
      <c r="S463">
        <f ca="1">IF(subscriptions[[#This Row],[churn_flag]]=1, DATEDIF(subscriptions[[#This Row],[signup_date]],subscriptions[[#This Row],[churn_date]],"M"), DATEDIF(subscriptions[[#This Row],[signup_date]],TODAY(),"M"))</f>
        <v>11</v>
      </c>
      <c r="T463">
        <f ca="1">subscriptions[[#This Row],[monthly_revenue]]*subscriptions[[#This Row],[customer_lifetime]]</f>
        <v>1181.8399999999999</v>
      </c>
      <c r="U463" t="str">
        <f>IF(subscriptions[[#This Row],[feature_usage_pct]]&lt;30,"High Risk",IF(subscriptions[[#This Row],[feature_usage_pct]]&lt;60,"Medium Risk","Low Risk"))</f>
        <v>Low Risk</v>
      </c>
      <c r="V463">
        <f ca="1">subscriptions[[#This Row],[CLV]]/200</f>
        <v>5.9091999999999993</v>
      </c>
    </row>
    <row r="464" spans="1:22" x14ac:dyDescent="0.25">
      <c r="A464" t="s">
        <v>517</v>
      </c>
      <c r="B464" t="s">
        <v>18</v>
      </c>
      <c r="C464" t="s">
        <v>19</v>
      </c>
      <c r="D464" t="s">
        <v>62</v>
      </c>
      <c r="E464" s="2" t="s">
        <v>663</v>
      </c>
      <c r="F464">
        <v>5</v>
      </c>
      <c r="G464">
        <v>126.4</v>
      </c>
      <c r="H464" t="s">
        <v>98</v>
      </c>
      <c r="I464" t="s">
        <v>23</v>
      </c>
      <c r="J464" s="1">
        <v>44748</v>
      </c>
      <c r="K464" t="s">
        <v>24</v>
      </c>
      <c r="L464" s="1">
        <v>44842</v>
      </c>
      <c r="M464" t="s">
        <v>63</v>
      </c>
      <c r="N464">
        <v>1</v>
      </c>
      <c r="O464">
        <v>2</v>
      </c>
      <c r="P464">
        <v>17</v>
      </c>
      <c r="Q464" t="s">
        <v>26</v>
      </c>
      <c r="R464">
        <f>IF(subscriptions[[#This Row],[churned]]="Yes",1,0)</f>
        <v>1</v>
      </c>
      <c r="S464">
        <f ca="1">IF(subscriptions[[#This Row],[churn_flag]]=1, DATEDIF(subscriptions[[#This Row],[signup_date]],subscriptions[[#This Row],[churn_date]],"M"), DATEDIF(subscriptions[[#This Row],[signup_date]],TODAY(),"M"))</f>
        <v>3</v>
      </c>
      <c r="T464">
        <f ca="1">subscriptions[[#This Row],[monthly_revenue]]*subscriptions[[#This Row],[customer_lifetime]]</f>
        <v>379.20000000000005</v>
      </c>
      <c r="U464" t="str">
        <f>IF(subscriptions[[#This Row],[feature_usage_pct]]&lt;30,"High Risk",IF(subscriptions[[#This Row],[feature_usage_pct]]&lt;60,"Medium Risk","Low Risk"))</f>
        <v>High Risk</v>
      </c>
      <c r="V464">
        <f ca="1">subscriptions[[#This Row],[CLV]]/200</f>
        <v>1.8960000000000001</v>
      </c>
    </row>
    <row r="465" spans="1:22" x14ac:dyDescent="0.25">
      <c r="A465" t="s">
        <v>518</v>
      </c>
      <c r="B465" t="s">
        <v>31</v>
      </c>
      <c r="C465" t="s">
        <v>28</v>
      </c>
      <c r="D465" t="s">
        <v>37</v>
      </c>
      <c r="E465" s="2" t="s">
        <v>21</v>
      </c>
      <c r="F465">
        <v>59</v>
      </c>
      <c r="G465">
        <v>239.1</v>
      </c>
      <c r="H465" t="s">
        <v>60</v>
      </c>
      <c r="I465" t="s">
        <v>23</v>
      </c>
      <c r="J465" s="1">
        <v>45948</v>
      </c>
      <c r="K465" t="s">
        <v>26</v>
      </c>
      <c r="N465">
        <v>12</v>
      </c>
      <c r="O465">
        <v>9</v>
      </c>
      <c r="P465">
        <v>72</v>
      </c>
      <c r="Q465" t="s">
        <v>26</v>
      </c>
      <c r="R465">
        <f>IF(subscriptions[[#This Row],[churned]]="Yes",1,0)</f>
        <v>0</v>
      </c>
      <c r="S465">
        <f ca="1">IF(subscriptions[[#This Row],[churn_flag]]=1, DATEDIF(subscriptions[[#This Row],[signup_date]],subscriptions[[#This Row],[churn_date]],"M"), DATEDIF(subscriptions[[#This Row],[signup_date]],TODAY(),"M"))</f>
        <v>6</v>
      </c>
      <c r="T465">
        <f ca="1">subscriptions[[#This Row],[monthly_revenue]]*subscriptions[[#This Row],[customer_lifetime]]</f>
        <v>1434.6</v>
      </c>
      <c r="U465" t="str">
        <f>IF(subscriptions[[#This Row],[feature_usage_pct]]&lt;30,"High Risk",IF(subscriptions[[#This Row],[feature_usage_pct]]&lt;60,"Medium Risk","Low Risk"))</f>
        <v>Low Risk</v>
      </c>
      <c r="V465">
        <f ca="1">subscriptions[[#This Row],[CLV]]/200</f>
        <v>7.1729999999999992</v>
      </c>
    </row>
    <row r="466" spans="1:22" x14ac:dyDescent="0.25">
      <c r="A466" t="s">
        <v>519</v>
      </c>
      <c r="B466" t="s">
        <v>18</v>
      </c>
      <c r="C466" t="s">
        <v>19</v>
      </c>
      <c r="D466" t="s">
        <v>62</v>
      </c>
      <c r="E466" s="2" t="s">
        <v>664</v>
      </c>
      <c r="F466">
        <v>1</v>
      </c>
      <c r="G466">
        <v>79</v>
      </c>
      <c r="H466" t="s">
        <v>29</v>
      </c>
      <c r="I466" t="s">
        <v>38</v>
      </c>
      <c r="J466" s="1">
        <v>46015</v>
      </c>
      <c r="K466" t="s">
        <v>26</v>
      </c>
      <c r="N466">
        <v>11</v>
      </c>
      <c r="O466">
        <v>5</v>
      </c>
      <c r="P466">
        <v>84</v>
      </c>
      <c r="Q466" t="s">
        <v>26</v>
      </c>
      <c r="R466">
        <f>IF(subscriptions[[#This Row],[churned]]="Yes",1,0)</f>
        <v>0</v>
      </c>
      <c r="S466">
        <f ca="1">IF(subscriptions[[#This Row],[churn_flag]]=1, DATEDIF(subscriptions[[#This Row],[signup_date]],subscriptions[[#This Row],[churn_date]],"M"), DATEDIF(subscriptions[[#This Row],[signup_date]],TODAY(),"M"))</f>
        <v>4</v>
      </c>
      <c r="T466">
        <f ca="1">subscriptions[[#This Row],[monthly_revenue]]*subscriptions[[#This Row],[customer_lifetime]]</f>
        <v>316</v>
      </c>
      <c r="U466" t="str">
        <f>IF(subscriptions[[#This Row],[feature_usage_pct]]&lt;30,"High Risk",IF(subscriptions[[#This Row],[feature_usage_pct]]&lt;60,"Medium Risk","Low Risk"))</f>
        <v>Low Risk</v>
      </c>
      <c r="V466">
        <f ca="1">subscriptions[[#This Row],[CLV]]/200</f>
        <v>1.58</v>
      </c>
    </row>
    <row r="467" spans="1:22" x14ac:dyDescent="0.25">
      <c r="A467" t="s">
        <v>520</v>
      </c>
      <c r="B467" t="s">
        <v>36</v>
      </c>
      <c r="C467" t="s">
        <v>28</v>
      </c>
      <c r="D467" t="s">
        <v>32</v>
      </c>
      <c r="E467" s="2" t="s">
        <v>21</v>
      </c>
      <c r="F467">
        <v>35</v>
      </c>
      <c r="G467">
        <v>1031.82</v>
      </c>
      <c r="H467" t="s">
        <v>60</v>
      </c>
      <c r="I467" t="s">
        <v>38</v>
      </c>
      <c r="J467" s="1">
        <v>45409</v>
      </c>
      <c r="K467" t="s">
        <v>26</v>
      </c>
      <c r="N467">
        <v>4</v>
      </c>
      <c r="O467">
        <v>8</v>
      </c>
      <c r="P467">
        <v>41</v>
      </c>
      <c r="Q467" t="s">
        <v>26</v>
      </c>
      <c r="R467">
        <f>IF(subscriptions[[#This Row],[churned]]="Yes",1,0)</f>
        <v>0</v>
      </c>
      <c r="S467">
        <f ca="1">IF(subscriptions[[#This Row],[churn_flag]]=1, DATEDIF(subscriptions[[#This Row],[signup_date]],subscriptions[[#This Row],[churn_date]],"M"), DATEDIF(subscriptions[[#This Row],[signup_date]],TODAY(),"M"))</f>
        <v>24</v>
      </c>
      <c r="T467">
        <f ca="1">subscriptions[[#This Row],[monthly_revenue]]*subscriptions[[#This Row],[customer_lifetime]]</f>
        <v>24763.68</v>
      </c>
      <c r="U467" t="str">
        <f>IF(subscriptions[[#This Row],[feature_usage_pct]]&lt;30,"High Risk",IF(subscriptions[[#This Row],[feature_usage_pct]]&lt;60,"Medium Risk","Low Risk"))</f>
        <v>Medium Risk</v>
      </c>
      <c r="V467">
        <f ca="1">subscriptions[[#This Row],[CLV]]/200</f>
        <v>123.8184</v>
      </c>
    </row>
    <row r="468" spans="1:22" x14ac:dyDescent="0.25">
      <c r="A468" t="s">
        <v>521</v>
      </c>
      <c r="B468" t="s">
        <v>31</v>
      </c>
      <c r="C468" t="s">
        <v>28</v>
      </c>
      <c r="D468" t="s">
        <v>52</v>
      </c>
      <c r="E468" s="2" t="s">
        <v>45</v>
      </c>
      <c r="F468">
        <v>112</v>
      </c>
      <c r="G468">
        <v>435.07</v>
      </c>
      <c r="H468" t="s">
        <v>43</v>
      </c>
      <c r="I468" t="s">
        <v>69</v>
      </c>
      <c r="J468" s="1">
        <v>44861</v>
      </c>
      <c r="K468" t="s">
        <v>24</v>
      </c>
      <c r="L468" s="1">
        <v>45096</v>
      </c>
      <c r="M468" t="s">
        <v>50</v>
      </c>
      <c r="N468">
        <v>12</v>
      </c>
      <c r="O468">
        <v>1</v>
      </c>
      <c r="P468">
        <v>34</v>
      </c>
      <c r="Q468" t="s">
        <v>26</v>
      </c>
      <c r="R468">
        <f>IF(subscriptions[[#This Row],[churned]]="Yes",1,0)</f>
        <v>1</v>
      </c>
      <c r="S468">
        <f ca="1">IF(subscriptions[[#This Row],[churn_flag]]=1, DATEDIF(subscriptions[[#This Row],[signup_date]],subscriptions[[#This Row],[churn_date]],"M"), DATEDIF(subscriptions[[#This Row],[signup_date]],TODAY(),"M"))</f>
        <v>7</v>
      </c>
      <c r="T468">
        <f ca="1">subscriptions[[#This Row],[monthly_revenue]]*subscriptions[[#This Row],[customer_lifetime]]</f>
        <v>3045.49</v>
      </c>
      <c r="U468" t="str">
        <f>IF(subscriptions[[#This Row],[feature_usage_pct]]&lt;30,"High Risk",IF(subscriptions[[#This Row],[feature_usage_pct]]&lt;60,"Medium Risk","Low Risk"))</f>
        <v>Medium Risk</v>
      </c>
      <c r="V468">
        <f ca="1">subscriptions[[#This Row],[CLV]]/200</f>
        <v>15.227449999999999</v>
      </c>
    </row>
    <row r="469" spans="1:22" x14ac:dyDescent="0.25">
      <c r="A469" t="s">
        <v>522</v>
      </c>
      <c r="B469" t="s">
        <v>71</v>
      </c>
      <c r="C469" t="s">
        <v>28</v>
      </c>
      <c r="D469" t="s">
        <v>42</v>
      </c>
      <c r="E469" s="2" t="s">
        <v>663</v>
      </c>
      <c r="F469">
        <v>10</v>
      </c>
      <c r="G469">
        <v>996.75</v>
      </c>
      <c r="H469" t="s">
        <v>43</v>
      </c>
      <c r="I469" t="s">
        <v>23</v>
      </c>
      <c r="J469" s="1">
        <v>45424</v>
      </c>
      <c r="K469" t="s">
        <v>26</v>
      </c>
      <c r="N469">
        <v>3</v>
      </c>
      <c r="O469">
        <v>1</v>
      </c>
      <c r="P469">
        <v>64</v>
      </c>
      <c r="Q469" t="s">
        <v>26</v>
      </c>
      <c r="R469">
        <f>IF(subscriptions[[#This Row],[churned]]="Yes",1,0)</f>
        <v>0</v>
      </c>
      <c r="S469">
        <f ca="1">IF(subscriptions[[#This Row],[churn_flag]]=1, DATEDIF(subscriptions[[#This Row],[signup_date]],subscriptions[[#This Row],[churn_date]],"M"), DATEDIF(subscriptions[[#This Row],[signup_date]],TODAY(),"M"))</f>
        <v>24</v>
      </c>
      <c r="T469">
        <f ca="1">subscriptions[[#This Row],[monthly_revenue]]*subscriptions[[#This Row],[customer_lifetime]]</f>
        <v>23922</v>
      </c>
      <c r="U469" t="str">
        <f>IF(subscriptions[[#This Row],[feature_usage_pct]]&lt;30,"High Risk",IF(subscriptions[[#This Row],[feature_usage_pct]]&lt;60,"Medium Risk","Low Risk"))</f>
        <v>Low Risk</v>
      </c>
      <c r="V469">
        <f ca="1">subscriptions[[#This Row],[CLV]]/200</f>
        <v>119.61</v>
      </c>
    </row>
    <row r="470" spans="1:22" x14ac:dyDescent="0.25">
      <c r="A470" t="s">
        <v>523</v>
      </c>
      <c r="B470" t="s">
        <v>36</v>
      </c>
      <c r="C470" t="s">
        <v>28</v>
      </c>
      <c r="D470" t="s">
        <v>49</v>
      </c>
      <c r="E470" s="2" t="s">
        <v>664</v>
      </c>
      <c r="F470">
        <v>3</v>
      </c>
      <c r="G470">
        <v>219.9</v>
      </c>
      <c r="H470" t="s">
        <v>60</v>
      </c>
      <c r="I470" t="s">
        <v>38</v>
      </c>
      <c r="J470" s="1">
        <v>46010</v>
      </c>
      <c r="K470" t="s">
        <v>26</v>
      </c>
      <c r="N470">
        <v>8</v>
      </c>
      <c r="O470">
        <v>2</v>
      </c>
      <c r="P470">
        <v>45</v>
      </c>
      <c r="Q470" t="s">
        <v>26</v>
      </c>
      <c r="R470">
        <f>IF(subscriptions[[#This Row],[churned]]="Yes",1,0)</f>
        <v>0</v>
      </c>
      <c r="S470">
        <f ca="1">IF(subscriptions[[#This Row],[churn_flag]]=1, DATEDIF(subscriptions[[#This Row],[signup_date]],subscriptions[[#This Row],[churn_date]],"M"), DATEDIF(subscriptions[[#This Row],[signup_date]],TODAY(),"M"))</f>
        <v>4</v>
      </c>
      <c r="T470">
        <f ca="1">subscriptions[[#This Row],[monthly_revenue]]*subscriptions[[#This Row],[customer_lifetime]]</f>
        <v>879.6</v>
      </c>
      <c r="U470" t="str">
        <f>IF(subscriptions[[#This Row],[feature_usage_pct]]&lt;30,"High Risk",IF(subscriptions[[#This Row],[feature_usage_pct]]&lt;60,"Medium Risk","Low Risk"))</f>
        <v>Medium Risk</v>
      </c>
      <c r="V470">
        <f ca="1">subscriptions[[#This Row],[CLV]]/200</f>
        <v>4.3979999999999997</v>
      </c>
    </row>
    <row r="471" spans="1:22" x14ac:dyDescent="0.25">
      <c r="A471" t="s">
        <v>524</v>
      </c>
      <c r="B471" t="s">
        <v>18</v>
      </c>
      <c r="C471" t="s">
        <v>19</v>
      </c>
      <c r="D471" t="s">
        <v>37</v>
      </c>
      <c r="E471" s="2" t="s">
        <v>664</v>
      </c>
      <c r="F471">
        <v>5</v>
      </c>
      <c r="G471">
        <v>126.4</v>
      </c>
      <c r="H471" t="s">
        <v>29</v>
      </c>
      <c r="I471" t="s">
        <v>23</v>
      </c>
      <c r="J471" s="1">
        <v>45577</v>
      </c>
      <c r="K471" t="s">
        <v>24</v>
      </c>
      <c r="L471" s="1">
        <v>45756</v>
      </c>
      <c r="M471" t="s">
        <v>53</v>
      </c>
      <c r="N471">
        <v>4</v>
      </c>
      <c r="O471">
        <v>1</v>
      </c>
      <c r="P471">
        <v>21</v>
      </c>
      <c r="Q471" t="s">
        <v>26</v>
      </c>
      <c r="R471">
        <f>IF(subscriptions[[#This Row],[churned]]="Yes",1,0)</f>
        <v>1</v>
      </c>
      <c r="S471">
        <f ca="1">IF(subscriptions[[#This Row],[churn_flag]]=1, DATEDIF(subscriptions[[#This Row],[signup_date]],subscriptions[[#This Row],[churn_date]],"M"), DATEDIF(subscriptions[[#This Row],[signup_date]],TODAY(),"M"))</f>
        <v>5</v>
      </c>
      <c r="T471">
        <f ca="1">subscriptions[[#This Row],[monthly_revenue]]*subscriptions[[#This Row],[customer_lifetime]]</f>
        <v>632</v>
      </c>
      <c r="U471" t="str">
        <f>IF(subscriptions[[#This Row],[feature_usage_pct]]&lt;30,"High Risk",IF(subscriptions[[#This Row],[feature_usage_pct]]&lt;60,"Medium Risk","Low Risk"))</f>
        <v>High Risk</v>
      </c>
      <c r="V471">
        <f ca="1">subscriptions[[#This Row],[CLV]]/200</f>
        <v>3.16</v>
      </c>
    </row>
    <row r="472" spans="1:22" x14ac:dyDescent="0.25">
      <c r="A472" t="s">
        <v>525</v>
      </c>
      <c r="B472" t="s">
        <v>36</v>
      </c>
      <c r="C472" t="s">
        <v>28</v>
      </c>
      <c r="D472" t="s">
        <v>37</v>
      </c>
      <c r="E472" s="2" t="s">
        <v>21</v>
      </c>
      <c r="F472">
        <v>62</v>
      </c>
      <c r="G472">
        <v>1716.87</v>
      </c>
      <c r="H472" t="s">
        <v>60</v>
      </c>
      <c r="I472" t="s">
        <v>23</v>
      </c>
      <c r="J472" s="1">
        <v>45191</v>
      </c>
      <c r="K472" t="s">
        <v>24</v>
      </c>
      <c r="L472" s="1">
        <v>45811</v>
      </c>
      <c r="M472" t="s">
        <v>63</v>
      </c>
      <c r="N472">
        <v>10</v>
      </c>
      <c r="O472">
        <v>4</v>
      </c>
      <c r="P472">
        <v>28</v>
      </c>
      <c r="Q472" t="s">
        <v>26</v>
      </c>
      <c r="R472">
        <f>IF(subscriptions[[#This Row],[churned]]="Yes",1,0)</f>
        <v>1</v>
      </c>
      <c r="S472">
        <f ca="1">IF(subscriptions[[#This Row],[churn_flag]]=1, DATEDIF(subscriptions[[#This Row],[signup_date]],subscriptions[[#This Row],[churn_date]],"M"), DATEDIF(subscriptions[[#This Row],[signup_date]],TODAY(),"M"))</f>
        <v>20</v>
      </c>
      <c r="T472">
        <f ca="1">subscriptions[[#This Row],[monthly_revenue]]*subscriptions[[#This Row],[customer_lifetime]]</f>
        <v>34337.399999999994</v>
      </c>
      <c r="U472" t="str">
        <f>IF(subscriptions[[#This Row],[feature_usage_pct]]&lt;30,"High Risk",IF(subscriptions[[#This Row],[feature_usage_pct]]&lt;60,"Medium Risk","Low Risk"))</f>
        <v>High Risk</v>
      </c>
      <c r="V472">
        <f ca="1">subscriptions[[#This Row],[CLV]]/200</f>
        <v>171.68699999999998</v>
      </c>
    </row>
    <row r="473" spans="1:22" x14ac:dyDescent="0.25">
      <c r="A473" t="s">
        <v>526</v>
      </c>
      <c r="B473" t="s">
        <v>31</v>
      </c>
      <c r="C473" t="s">
        <v>28</v>
      </c>
      <c r="D473" t="s">
        <v>37</v>
      </c>
      <c r="E473" s="2" t="s">
        <v>663</v>
      </c>
      <c r="F473">
        <v>5</v>
      </c>
      <c r="G473">
        <v>39.44</v>
      </c>
      <c r="H473" t="s">
        <v>34</v>
      </c>
      <c r="I473" t="s">
        <v>55</v>
      </c>
      <c r="J473" s="1">
        <v>44804</v>
      </c>
      <c r="K473" t="s">
        <v>24</v>
      </c>
      <c r="L473" s="1">
        <v>44920</v>
      </c>
      <c r="M473" t="s">
        <v>46</v>
      </c>
      <c r="N473">
        <v>12</v>
      </c>
      <c r="O473">
        <v>1</v>
      </c>
      <c r="P473">
        <v>44</v>
      </c>
      <c r="Q473" t="s">
        <v>26</v>
      </c>
      <c r="R473">
        <f>IF(subscriptions[[#This Row],[churned]]="Yes",1,0)</f>
        <v>1</v>
      </c>
      <c r="S473">
        <f ca="1">IF(subscriptions[[#This Row],[churn_flag]]=1, DATEDIF(subscriptions[[#This Row],[signup_date]],subscriptions[[#This Row],[churn_date]],"M"), DATEDIF(subscriptions[[#This Row],[signup_date]],TODAY(),"M"))</f>
        <v>3</v>
      </c>
      <c r="T473">
        <f ca="1">subscriptions[[#This Row],[monthly_revenue]]*subscriptions[[#This Row],[customer_lifetime]]</f>
        <v>118.32</v>
      </c>
      <c r="U473" t="str">
        <f>IF(subscriptions[[#This Row],[feature_usage_pct]]&lt;30,"High Risk",IF(subscriptions[[#This Row],[feature_usage_pct]]&lt;60,"Medium Risk","Low Risk"))</f>
        <v>Medium Risk</v>
      </c>
      <c r="V473">
        <f ca="1">subscriptions[[#This Row],[CLV]]/200</f>
        <v>0.59160000000000001</v>
      </c>
    </row>
    <row r="474" spans="1:22" x14ac:dyDescent="0.25">
      <c r="A474" t="s">
        <v>527</v>
      </c>
      <c r="B474" t="s">
        <v>31</v>
      </c>
      <c r="C474" t="s">
        <v>19</v>
      </c>
      <c r="D474" t="s">
        <v>32</v>
      </c>
      <c r="E474" s="2" t="s">
        <v>21</v>
      </c>
      <c r="F474">
        <v>48</v>
      </c>
      <c r="G474">
        <v>233.45</v>
      </c>
      <c r="H474" t="s">
        <v>29</v>
      </c>
      <c r="I474" t="s">
        <v>23</v>
      </c>
      <c r="J474" s="1">
        <v>45842</v>
      </c>
      <c r="K474" t="s">
        <v>26</v>
      </c>
      <c r="N474">
        <v>0</v>
      </c>
      <c r="O474">
        <v>7</v>
      </c>
      <c r="P474">
        <v>40</v>
      </c>
      <c r="Q474" t="s">
        <v>26</v>
      </c>
      <c r="R474">
        <f>IF(subscriptions[[#This Row],[churned]]="Yes",1,0)</f>
        <v>0</v>
      </c>
      <c r="S474">
        <f ca="1">IF(subscriptions[[#This Row],[churn_flag]]=1, DATEDIF(subscriptions[[#This Row],[signup_date]],subscriptions[[#This Row],[churn_date]],"M"), DATEDIF(subscriptions[[#This Row],[signup_date]],TODAY(),"M"))</f>
        <v>10</v>
      </c>
      <c r="T474">
        <f ca="1">subscriptions[[#This Row],[monthly_revenue]]*subscriptions[[#This Row],[customer_lifetime]]</f>
        <v>2334.5</v>
      </c>
      <c r="U474" t="str">
        <f>IF(subscriptions[[#This Row],[feature_usage_pct]]&lt;30,"High Risk",IF(subscriptions[[#This Row],[feature_usage_pct]]&lt;60,"Medium Risk","Low Risk"))</f>
        <v>Medium Risk</v>
      </c>
      <c r="V474">
        <f ca="1">subscriptions[[#This Row],[CLV]]/200</f>
        <v>11.672499999999999</v>
      </c>
    </row>
    <row r="475" spans="1:22" x14ac:dyDescent="0.25">
      <c r="A475" t="s">
        <v>528</v>
      </c>
      <c r="B475" t="s">
        <v>18</v>
      </c>
      <c r="C475" t="s">
        <v>28</v>
      </c>
      <c r="D475" t="s">
        <v>37</v>
      </c>
      <c r="E475" s="2" t="s">
        <v>663</v>
      </c>
      <c r="F475">
        <v>7</v>
      </c>
      <c r="G475">
        <v>127.59</v>
      </c>
      <c r="H475" t="s">
        <v>43</v>
      </c>
      <c r="I475" t="s">
        <v>38</v>
      </c>
      <c r="J475" s="1">
        <v>44880</v>
      </c>
      <c r="K475" t="s">
        <v>24</v>
      </c>
      <c r="L475" s="1">
        <v>44964</v>
      </c>
      <c r="M475" t="s">
        <v>82</v>
      </c>
      <c r="N475">
        <v>1</v>
      </c>
      <c r="O475">
        <v>5</v>
      </c>
      <c r="P475">
        <v>45</v>
      </c>
      <c r="Q475" t="s">
        <v>26</v>
      </c>
      <c r="R475">
        <f>IF(subscriptions[[#This Row],[churned]]="Yes",1,0)</f>
        <v>1</v>
      </c>
      <c r="S475">
        <f ca="1">IF(subscriptions[[#This Row],[churn_flag]]=1, DATEDIF(subscriptions[[#This Row],[signup_date]],subscriptions[[#This Row],[churn_date]],"M"), DATEDIF(subscriptions[[#This Row],[signup_date]],TODAY(),"M"))</f>
        <v>2</v>
      </c>
      <c r="T475">
        <f ca="1">subscriptions[[#This Row],[monthly_revenue]]*subscriptions[[#This Row],[customer_lifetime]]</f>
        <v>255.18</v>
      </c>
      <c r="U475" t="str">
        <f>IF(subscriptions[[#This Row],[feature_usage_pct]]&lt;30,"High Risk",IF(subscriptions[[#This Row],[feature_usage_pct]]&lt;60,"Medium Risk","Low Risk"))</f>
        <v>Medium Risk</v>
      </c>
      <c r="V475">
        <f ca="1">subscriptions[[#This Row],[CLV]]/200</f>
        <v>1.2759</v>
      </c>
    </row>
    <row r="476" spans="1:22" x14ac:dyDescent="0.25">
      <c r="A476" t="s">
        <v>529</v>
      </c>
      <c r="B476" t="s">
        <v>18</v>
      </c>
      <c r="C476" t="s">
        <v>28</v>
      </c>
      <c r="D476" t="s">
        <v>37</v>
      </c>
      <c r="E476" s="2" t="s">
        <v>664</v>
      </c>
      <c r="F476">
        <v>1</v>
      </c>
      <c r="G476">
        <v>67.150000000000006</v>
      </c>
      <c r="H476" t="s">
        <v>60</v>
      </c>
      <c r="I476" t="s">
        <v>23</v>
      </c>
      <c r="J476" s="1">
        <v>46019</v>
      </c>
      <c r="K476" t="s">
        <v>26</v>
      </c>
      <c r="N476">
        <v>11</v>
      </c>
      <c r="O476">
        <v>6</v>
      </c>
      <c r="P476">
        <v>30</v>
      </c>
      <c r="Q476" t="s">
        <v>26</v>
      </c>
      <c r="R476">
        <f>IF(subscriptions[[#This Row],[churned]]="Yes",1,0)</f>
        <v>0</v>
      </c>
      <c r="S476">
        <f ca="1">IF(subscriptions[[#This Row],[churn_flag]]=1, DATEDIF(subscriptions[[#This Row],[signup_date]],subscriptions[[#This Row],[churn_date]],"M"), DATEDIF(subscriptions[[#This Row],[signup_date]],TODAY(),"M"))</f>
        <v>4</v>
      </c>
      <c r="T476">
        <f ca="1">subscriptions[[#This Row],[monthly_revenue]]*subscriptions[[#This Row],[customer_lifetime]]</f>
        <v>268.60000000000002</v>
      </c>
      <c r="U476" t="str">
        <f>IF(subscriptions[[#This Row],[feature_usage_pct]]&lt;30,"High Risk",IF(subscriptions[[#This Row],[feature_usage_pct]]&lt;60,"Medium Risk","Low Risk"))</f>
        <v>Medium Risk</v>
      </c>
      <c r="V476">
        <f ca="1">subscriptions[[#This Row],[CLV]]/200</f>
        <v>1.3430000000000002</v>
      </c>
    </row>
    <row r="477" spans="1:22" x14ac:dyDescent="0.25">
      <c r="A477" t="s">
        <v>530</v>
      </c>
      <c r="B477" t="s">
        <v>18</v>
      </c>
      <c r="C477" t="s">
        <v>28</v>
      </c>
      <c r="D477" t="s">
        <v>37</v>
      </c>
      <c r="E477" s="2" t="s">
        <v>664</v>
      </c>
      <c r="F477">
        <v>2</v>
      </c>
      <c r="G477">
        <v>77.22</v>
      </c>
      <c r="H477" t="s">
        <v>22</v>
      </c>
      <c r="I477" t="s">
        <v>69</v>
      </c>
      <c r="J477" s="1">
        <v>45822</v>
      </c>
      <c r="K477" t="s">
        <v>26</v>
      </c>
      <c r="N477">
        <v>1</v>
      </c>
      <c r="O477">
        <v>3</v>
      </c>
      <c r="P477">
        <v>15</v>
      </c>
      <c r="Q477" t="s">
        <v>26</v>
      </c>
      <c r="R477">
        <f>IF(subscriptions[[#This Row],[churned]]="Yes",1,0)</f>
        <v>0</v>
      </c>
      <c r="S477">
        <f ca="1">IF(subscriptions[[#This Row],[churn_flag]]=1, DATEDIF(subscriptions[[#This Row],[signup_date]],subscriptions[[#This Row],[churn_date]],"M"), DATEDIF(subscriptions[[#This Row],[signup_date]],TODAY(),"M"))</f>
        <v>10</v>
      </c>
      <c r="T477">
        <f ca="1">subscriptions[[#This Row],[monthly_revenue]]*subscriptions[[#This Row],[customer_lifetime]]</f>
        <v>772.2</v>
      </c>
      <c r="U477" t="str">
        <f>IF(subscriptions[[#This Row],[feature_usage_pct]]&lt;30,"High Risk",IF(subscriptions[[#This Row],[feature_usage_pct]]&lt;60,"Medium Risk","Low Risk"))</f>
        <v>High Risk</v>
      </c>
      <c r="V477">
        <f ca="1">subscriptions[[#This Row],[CLV]]/200</f>
        <v>3.8610000000000002</v>
      </c>
    </row>
    <row r="478" spans="1:22" x14ac:dyDescent="0.25">
      <c r="A478" t="s">
        <v>531</v>
      </c>
      <c r="B478" t="s">
        <v>18</v>
      </c>
      <c r="C478" t="s">
        <v>19</v>
      </c>
      <c r="D478" t="s">
        <v>42</v>
      </c>
      <c r="E478" s="2" t="s">
        <v>21</v>
      </c>
      <c r="F478">
        <v>67</v>
      </c>
      <c r="G478">
        <v>861.1</v>
      </c>
      <c r="H478" t="s">
        <v>29</v>
      </c>
      <c r="I478" t="s">
        <v>55</v>
      </c>
      <c r="J478" s="1">
        <v>45822</v>
      </c>
      <c r="K478" t="s">
        <v>26</v>
      </c>
      <c r="N478">
        <v>11</v>
      </c>
      <c r="O478">
        <v>8</v>
      </c>
      <c r="P478">
        <v>76</v>
      </c>
      <c r="Q478" t="s">
        <v>26</v>
      </c>
      <c r="R478">
        <f>IF(subscriptions[[#This Row],[churned]]="Yes",1,0)</f>
        <v>0</v>
      </c>
      <c r="S478">
        <f ca="1">IF(subscriptions[[#This Row],[churn_flag]]=1, DATEDIF(subscriptions[[#This Row],[signup_date]],subscriptions[[#This Row],[churn_date]],"M"), DATEDIF(subscriptions[[#This Row],[signup_date]],TODAY(),"M"))</f>
        <v>10</v>
      </c>
      <c r="T478">
        <f ca="1">subscriptions[[#This Row],[monthly_revenue]]*subscriptions[[#This Row],[customer_lifetime]]</f>
        <v>8611</v>
      </c>
      <c r="U478" t="str">
        <f>IF(subscriptions[[#This Row],[feature_usage_pct]]&lt;30,"High Risk",IF(subscriptions[[#This Row],[feature_usage_pct]]&lt;60,"Medium Risk","Low Risk"))</f>
        <v>Low Risk</v>
      </c>
      <c r="V478">
        <f ca="1">subscriptions[[#This Row],[CLV]]/200</f>
        <v>43.055</v>
      </c>
    </row>
    <row r="479" spans="1:22" x14ac:dyDescent="0.25">
      <c r="A479" t="s">
        <v>532</v>
      </c>
      <c r="B479" t="s">
        <v>36</v>
      </c>
      <c r="C479" t="s">
        <v>19</v>
      </c>
      <c r="D479" t="s">
        <v>20</v>
      </c>
      <c r="E479" s="2" t="s">
        <v>664</v>
      </c>
      <c r="F479">
        <v>3</v>
      </c>
      <c r="G479">
        <v>258.7</v>
      </c>
      <c r="H479" t="s">
        <v>60</v>
      </c>
      <c r="I479" t="s">
        <v>38</v>
      </c>
      <c r="J479" s="1">
        <v>44609</v>
      </c>
      <c r="K479" t="s">
        <v>24</v>
      </c>
      <c r="L479" s="1">
        <v>45471</v>
      </c>
      <c r="M479" t="s">
        <v>46</v>
      </c>
      <c r="N479">
        <v>1</v>
      </c>
      <c r="O479">
        <v>1</v>
      </c>
      <c r="P479">
        <v>11</v>
      </c>
      <c r="Q479" t="s">
        <v>26</v>
      </c>
      <c r="R479">
        <f>IF(subscriptions[[#This Row],[churned]]="Yes",1,0)</f>
        <v>1</v>
      </c>
      <c r="S479">
        <f ca="1">IF(subscriptions[[#This Row],[churn_flag]]=1, DATEDIF(subscriptions[[#This Row],[signup_date]],subscriptions[[#This Row],[churn_date]],"M"), DATEDIF(subscriptions[[#This Row],[signup_date]],TODAY(),"M"))</f>
        <v>28</v>
      </c>
      <c r="T479">
        <f ca="1">subscriptions[[#This Row],[monthly_revenue]]*subscriptions[[#This Row],[customer_lifetime]]</f>
        <v>7243.5999999999995</v>
      </c>
      <c r="U479" t="str">
        <f>IF(subscriptions[[#This Row],[feature_usage_pct]]&lt;30,"High Risk",IF(subscriptions[[#This Row],[feature_usage_pct]]&lt;60,"Medium Risk","Low Risk"))</f>
        <v>High Risk</v>
      </c>
      <c r="V479">
        <f ca="1">subscriptions[[#This Row],[CLV]]/200</f>
        <v>36.217999999999996</v>
      </c>
    </row>
    <row r="480" spans="1:22" x14ac:dyDescent="0.25">
      <c r="A480" t="s">
        <v>533</v>
      </c>
      <c r="B480" t="s">
        <v>31</v>
      </c>
      <c r="C480" t="s">
        <v>19</v>
      </c>
      <c r="D480" t="s">
        <v>52</v>
      </c>
      <c r="E480" s="2" t="s">
        <v>663</v>
      </c>
      <c r="F480">
        <v>10</v>
      </c>
      <c r="G480">
        <v>68.150000000000006</v>
      </c>
      <c r="H480" t="s">
        <v>60</v>
      </c>
      <c r="I480" t="s">
        <v>23</v>
      </c>
      <c r="J480" s="1">
        <v>45236</v>
      </c>
      <c r="K480" t="s">
        <v>24</v>
      </c>
      <c r="L480" s="1">
        <v>45737</v>
      </c>
      <c r="M480" t="s">
        <v>82</v>
      </c>
      <c r="N480">
        <v>2</v>
      </c>
      <c r="O480">
        <v>1</v>
      </c>
      <c r="P480">
        <v>21</v>
      </c>
      <c r="Q480" t="s">
        <v>26</v>
      </c>
      <c r="R480">
        <f>IF(subscriptions[[#This Row],[churned]]="Yes",1,0)</f>
        <v>1</v>
      </c>
      <c r="S480">
        <f ca="1">IF(subscriptions[[#This Row],[churn_flag]]=1, DATEDIF(subscriptions[[#This Row],[signup_date]],subscriptions[[#This Row],[churn_date]],"M"), DATEDIF(subscriptions[[#This Row],[signup_date]],TODAY(),"M"))</f>
        <v>16</v>
      </c>
      <c r="T480">
        <f ca="1">subscriptions[[#This Row],[monthly_revenue]]*subscriptions[[#This Row],[customer_lifetime]]</f>
        <v>1090.4000000000001</v>
      </c>
      <c r="U480" t="str">
        <f>IF(subscriptions[[#This Row],[feature_usage_pct]]&lt;30,"High Risk",IF(subscriptions[[#This Row],[feature_usage_pct]]&lt;60,"Medium Risk","Low Risk"))</f>
        <v>High Risk</v>
      </c>
      <c r="V480">
        <f ca="1">subscriptions[[#This Row],[CLV]]/200</f>
        <v>5.4520000000000008</v>
      </c>
    </row>
    <row r="481" spans="1:22" x14ac:dyDescent="0.25">
      <c r="A481" t="s">
        <v>534</v>
      </c>
      <c r="B481" t="s">
        <v>36</v>
      </c>
      <c r="C481" t="s">
        <v>19</v>
      </c>
      <c r="D481" t="s">
        <v>40</v>
      </c>
      <c r="E481" s="2" t="s">
        <v>663</v>
      </c>
      <c r="F481">
        <v>5</v>
      </c>
      <c r="G481">
        <v>318.39999999999998</v>
      </c>
      <c r="H481" t="s">
        <v>22</v>
      </c>
      <c r="I481" t="s">
        <v>38</v>
      </c>
      <c r="J481" s="1">
        <v>44965</v>
      </c>
      <c r="K481" t="s">
        <v>24</v>
      </c>
      <c r="L481" s="1">
        <v>44973</v>
      </c>
      <c r="M481" t="s">
        <v>56</v>
      </c>
      <c r="N481">
        <v>8</v>
      </c>
      <c r="O481">
        <v>6</v>
      </c>
      <c r="P481">
        <v>34</v>
      </c>
      <c r="Q481" t="s">
        <v>26</v>
      </c>
      <c r="R481">
        <f>IF(subscriptions[[#This Row],[churned]]="Yes",1,0)</f>
        <v>1</v>
      </c>
      <c r="S481">
        <f ca="1">IF(subscriptions[[#This Row],[churn_flag]]=1, DATEDIF(subscriptions[[#This Row],[signup_date]],subscriptions[[#This Row],[churn_date]],"M"), DATEDIF(subscriptions[[#This Row],[signup_date]],TODAY(),"M"))</f>
        <v>0</v>
      </c>
      <c r="T481">
        <f ca="1">subscriptions[[#This Row],[monthly_revenue]]*subscriptions[[#This Row],[customer_lifetime]]</f>
        <v>0</v>
      </c>
      <c r="U481" t="str">
        <f>IF(subscriptions[[#This Row],[feature_usage_pct]]&lt;30,"High Risk",IF(subscriptions[[#This Row],[feature_usage_pct]]&lt;60,"Medium Risk","Low Risk"))</f>
        <v>Medium Risk</v>
      </c>
      <c r="V481">
        <f ca="1">subscriptions[[#This Row],[CLV]]/200</f>
        <v>0</v>
      </c>
    </row>
    <row r="482" spans="1:22" x14ac:dyDescent="0.25">
      <c r="A482" t="s">
        <v>535</v>
      </c>
      <c r="B482" t="s">
        <v>71</v>
      </c>
      <c r="C482" t="s">
        <v>19</v>
      </c>
      <c r="D482" t="s">
        <v>68</v>
      </c>
      <c r="E482" s="2" t="s">
        <v>45</v>
      </c>
      <c r="F482">
        <v>112</v>
      </c>
      <c r="G482">
        <v>8807.35</v>
      </c>
      <c r="H482" t="s">
        <v>22</v>
      </c>
      <c r="I482" t="s">
        <v>38</v>
      </c>
      <c r="J482" s="1">
        <v>45464</v>
      </c>
      <c r="K482" t="s">
        <v>26</v>
      </c>
      <c r="N482">
        <v>2</v>
      </c>
      <c r="O482">
        <v>2</v>
      </c>
      <c r="P482">
        <v>61</v>
      </c>
      <c r="Q482" t="s">
        <v>26</v>
      </c>
      <c r="R482">
        <f>IF(subscriptions[[#This Row],[churned]]="Yes",1,0)</f>
        <v>0</v>
      </c>
      <c r="S482">
        <f ca="1">IF(subscriptions[[#This Row],[churn_flag]]=1, DATEDIF(subscriptions[[#This Row],[signup_date]],subscriptions[[#This Row],[churn_date]],"M"), DATEDIF(subscriptions[[#This Row],[signup_date]],TODAY(),"M"))</f>
        <v>22</v>
      </c>
      <c r="T482">
        <f ca="1">subscriptions[[#This Row],[monthly_revenue]]*subscriptions[[#This Row],[customer_lifetime]]</f>
        <v>193761.7</v>
      </c>
      <c r="U482" t="str">
        <f>IF(subscriptions[[#This Row],[feature_usage_pct]]&lt;30,"High Risk",IF(subscriptions[[#This Row],[feature_usage_pct]]&lt;60,"Medium Risk","Low Risk"))</f>
        <v>Low Risk</v>
      </c>
      <c r="V482">
        <f ca="1">subscriptions[[#This Row],[CLV]]/200</f>
        <v>968.80850000000009</v>
      </c>
    </row>
    <row r="483" spans="1:22" x14ac:dyDescent="0.25">
      <c r="A483" t="s">
        <v>536</v>
      </c>
      <c r="B483" t="s">
        <v>18</v>
      </c>
      <c r="C483" t="s">
        <v>28</v>
      </c>
      <c r="D483" t="s">
        <v>62</v>
      </c>
      <c r="E483" s="2" t="s">
        <v>663</v>
      </c>
      <c r="F483">
        <v>27</v>
      </c>
      <c r="G483">
        <v>329.03</v>
      </c>
      <c r="H483" t="s">
        <v>60</v>
      </c>
      <c r="I483" t="s">
        <v>23</v>
      </c>
      <c r="J483" s="1">
        <v>45567</v>
      </c>
      <c r="K483" t="s">
        <v>26</v>
      </c>
      <c r="N483">
        <v>8</v>
      </c>
      <c r="O483">
        <v>6</v>
      </c>
      <c r="P483">
        <v>80</v>
      </c>
      <c r="Q483" t="s">
        <v>26</v>
      </c>
      <c r="R483">
        <f>IF(subscriptions[[#This Row],[churned]]="Yes",1,0)</f>
        <v>0</v>
      </c>
      <c r="S483">
        <f ca="1">IF(subscriptions[[#This Row],[churn_flag]]=1, DATEDIF(subscriptions[[#This Row],[signup_date]],subscriptions[[#This Row],[churn_date]],"M"), DATEDIF(subscriptions[[#This Row],[signup_date]],TODAY(),"M"))</f>
        <v>19</v>
      </c>
      <c r="T483">
        <f ca="1">subscriptions[[#This Row],[monthly_revenue]]*subscriptions[[#This Row],[customer_lifetime]]</f>
        <v>6251.57</v>
      </c>
      <c r="U483" t="str">
        <f>IF(subscriptions[[#This Row],[feature_usage_pct]]&lt;30,"High Risk",IF(subscriptions[[#This Row],[feature_usage_pct]]&lt;60,"Medium Risk","Low Risk"))</f>
        <v>Low Risk</v>
      </c>
      <c r="V483">
        <f ca="1">subscriptions[[#This Row],[CLV]]/200</f>
        <v>31.257849999999998</v>
      </c>
    </row>
    <row r="484" spans="1:22" x14ac:dyDescent="0.25">
      <c r="A484" t="s">
        <v>537</v>
      </c>
      <c r="B484" t="s">
        <v>31</v>
      </c>
      <c r="C484" t="s">
        <v>28</v>
      </c>
      <c r="D484" t="s">
        <v>62</v>
      </c>
      <c r="E484" s="2" t="s">
        <v>663</v>
      </c>
      <c r="F484">
        <v>6</v>
      </c>
      <c r="G484">
        <v>43.14</v>
      </c>
      <c r="H484" t="s">
        <v>60</v>
      </c>
      <c r="I484" t="s">
        <v>23</v>
      </c>
      <c r="J484" s="1">
        <v>44614</v>
      </c>
      <c r="K484" t="s">
        <v>24</v>
      </c>
      <c r="L484" s="1">
        <v>44784</v>
      </c>
      <c r="M484" t="s">
        <v>56</v>
      </c>
      <c r="N484">
        <v>6</v>
      </c>
      <c r="O484">
        <v>1</v>
      </c>
      <c r="P484">
        <v>21</v>
      </c>
      <c r="Q484" t="s">
        <v>26</v>
      </c>
      <c r="R484">
        <f>IF(subscriptions[[#This Row],[churned]]="Yes",1,0)</f>
        <v>1</v>
      </c>
      <c r="S484">
        <f ca="1">IF(subscriptions[[#This Row],[churn_flag]]=1, DATEDIF(subscriptions[[#This Row],[signup_date]],subscriptions[[#This Row],[churn_date]],"M"), DATEDIF(subscriptions[[#This Row],[signup_date]],TODAY(),"M"))</f>
        <v>5</v>
      </c>
      <c r="T484">
        <f ca="1">subscriptions[[#This Row],[monthly_revenue]]*subscriptions[[#This Row],[customer_lifetime]]</f>
        <v>215.7</v>
      </c>
      <c r="U484" t="str">
        <f>IF(subscriptions[[#This Row],[feature_usage_pct]]&lt;30,"High Risk",IF(subscriptions[[#This Row],[feature_usage_pct]]&lt;60,"Medium Risk","Low Risk"))</f>
        <v>High Risk</v>
      </c>
      <c r="V484">
        <f ca="1">subscriptions[[#This Row],[CLV]]/200</f>
        <v>1.0785</v>
      </c>
    </row>
    <row r="485" spans="1:22" x14ac:dyDescent="0.25">
      <c r="A485" t="s">
        <v>538</v>
      </c>
      <c r="B485" t="s">
        <v>36</v>
      </c>
      <c r="C485" t="s">
        <v>19</v>
      </c>
      <c r="D485" t="s">
        <v>68</v>
      </c>
      <c r="E485" s="2" t="s">
        <v>663</v>
      </c>
      <c r="F485">
        <v>29</v>
      </c>
      <c r="G485">
        <v>1034.8</v>
      </c>
      <c r="H485" t="s">
        <v>22</v>
      </c>
      <c r="I485" t="s">
        <v>38</v>
      </c>
      <c r="J485" s="1">
        <v>45072</v>
      </c>
      <c r="K485" t="s">
        <v>24</v>
      </c>
      <c r="L485" s="1">
        <v>45095</v>
      </c>
      <c r="M485" t="s">
        <v>46</v>
      </c>
      <c r="N485">
        <v>7</v>
      </c>
      <c r="O485">
        <v>3</v>
      </c>
      <c r="P485">
        <v>32</v>
      </c>
      <c r="Q485" t="s">
        <v>26</v>
      </c>
      <c r="R485">
        <f>IF(subscriptions[[#This Row],[churned]]="Yes",1,0)</f>
        <v>1</v>
      </c>
      <c r="S485">
        <f ca="1">IF(subscriptions[[#This Row],[churn_flag]]=1, DATEDIF(subscriptions[[#This Row],[signup_date]],subscriptions[[#This Row],[churn_date]],"M"), DATEDIF(subscriptions[[#This Row],[signup_date]],TODAY(),"M"))</f>
        <v>0</v>
      </c>
      <c r="T485">
        <f ca="1">subscriptions[[#This Row],[monthly_revenue]]*subscriptions[[#This Row],[customer_lifetime]]</f>
        <v>0</v>
      </c>
      <c r="U485" t="str">
        <f>IF(subscriptions[[#This Row],[feature_usage_pct]]&lt;30,"High Risk",IF(subscriptions[[#This Row],[feature_usage_pct]]&lt;60,"Medium Risk","Low Risk"))</f>
        <v>Medium Risk</v>
      </c>
      <c r="V485">
        <f ca="1">subscriptions[[#This Row],[CLV]]/200</f>
        <v>0</v>
      </c>
    </row>
    <row r="486" spans="1:22" x14ac:dyDescent="0.25">
      <c r="A486" t="s">
        <v>539</v>
      </c>
      <c r="B486" t="s">
        <v>18</v>
      </c>
      <c r="C486" t="s">
        <v>28</v>
      </c>
      <c r="D486" t="s">
        <v>32</v>
      </c>
      <c r="E486" s="2" t="s">
        <v>664</v>
      </c>
      <c r="F486">
        <v>2</v>
      </c>
      <c r="G486">
        <v>77.22</v>
      </c>
      <c r="H486" t="s">
        <v>22</v>
      </c>
      <c r="I486" t="s">
        <v>38</v>
      </c>
      <c r="J486" s="1">
        <v>45182</v>
      </c>
      <c r="K486" t="s">
        <v>24</v>
      </c>
      <c r="L486" s="1">
        <v>45745</v>
      </c>
      <c r="M486" t="s">
        <v>53</v>
      </c>
      <c r="N486">
        <v>7</v>
      </c>
      <c r="O486">
        <v>1</v>
      </c>
      <c r="P486">
        <v>30</v>
      </c>
      <c r="Q486" t="s">
        <v>26</v>
      </c>
      <c r="R486">
        <f>IF(subscriptions[[#This Row],[churned]]="Yes",1,0)</f>
        <v>1</v>
      </c>
      <c r="S486">
        <f ca="1">IF(subscriptions[[#This Row],[churn_flag]]=1, DATEDIF(subscriptions[[#This Row],[signup_date]],subscriptions[[#This Row],[churn_date]],"M"), DATEDIF(subscriptions[[#This Row],[signup_date]],TODAY(),"M"))</f>
        <v>18</v>
      </c>
      <c r="T486">
        <f ca="1">subscriptions[[#This Row],[monthly_revenue]]*subscriptions[[#This Row],[customer_lifetime]]</f>
        <v>1389.96</v>
      </c>
      <c r="U486" t="str">
        <f>IF(subscriptions[[#This Row],[feature_usage_pct]]&lt;30,"High Risk",IF(subscriptions[[#This Row],[feature_usage_pct]]&lt;60,"Medium Risk","Low Risk"))</f>
        <v>Medium Risk</v>
      </c>
      <c r="V486">
        <f ca="1">subscriptions[[#This Row],[CLV]]/200</f>
        <v>6.9497999999999998</v>
      </c>
    </row>
    <row r="487" spans="1:22" x14ac:dyDescent="0.25">
      <c r="A487" t="s">
        <v>540</v>
      </c>
      <c r="B487" t="s">
        <v>31</v>
      </c>
      <c r="C487" t="s">
        <v>19</v>
      </c>
      <c r="D487" t="s">
        <v>52</v>
      </c>
      <c r="E487" s="2" t="s">
        <v>21</v>
      </c>
      <c r="F487">
        <v>25</v>
      </c>
      <c r="G487">
        <v>133.4</v>
      </c>
      <c r="H487" t="s">
        <v>34</v>
      </c>
      <c r="I487" t="s">
        <v>55</v>
      </c>
      <c r="J487" s="1">
        <v>45625</v>
      </c>
      <c r="K487" t="s">
        <v>24</v>
      </c>
      <c r="L487" s="1">
        <v>45685</v>
      </c>
      <c r="M487" t="s">
        <v>53</v>
      </c>
      <c r="N487">
        <v>10</v>
      </c>
      <c r="O487">
        <v>4</v>
      </c>
      <c r="P487">
        <v>29</v>
      </c>
      <c r="Q487" t="s">
        <v>26</v>
      </c>
      <c r="R487">
        <f>IF(subscriptions[[#This Row],[churned]]="Yes",1,0)</f>
        <v>1</v>
      </c>
      <c r="S487">
        <f ca="1">IF(subscriptions[[#This Row],[churn_flag]]=1, DATEDIF(subscriptions[[#This Row],[signup_date]],subscriptions[[#This Row],[churn_date]],"M"), DATEDIF(subscriptions[[#This Row],[signup_date]],TODAY(),"M"))</f>
        <v>1</v>
      </c>
      <c r="T487">
        <f ca="1">subscriptions[[#This Row],[monthly_revenue]]*subscriptions[[#This Row],[customer_lifetime]]</f>
        <v>133.4</v>
      </c>
      <c r="U487" t="str">
        <f>IF(subscriptions[[#This Row],[feature_usage_pct]]&lt;30,"High Risk",IF(subscriptions[[#This Row],[feature_usage_pct]]&lt;60,"Medium Risk","Low Risk"))</f>
        <v>High Risk</v>
      </c>
      <c r="V487">
        <f ca="1">subscriptions[[#This Row],[CLV]]/200</f>
        <v>0.66700000000000004</v>
      </c>
    </row>
    <row r="488" spans="1:22" x14ac:dyDescent="0.25">
      <c r="A488" t="s">
        <v>541</v>
      </c>
      <c r="B488" t="s">
        <v>31</v>
      </c>
      <c r="C488" t="s">
        <v>19</v>
      </c>
      <c r="D488" t="s">
        <v>37</v>
      </c>
      <c r="E488" s="2" t="s">
        <v>664</v>
      </c>
      <c r="F488">
        <v>7</v>
      </c>
      <c r="G488">
        <v>55.1</v>
      </c>
      <c r="H488" t="s">
        <v>98</v>
      </c>
      <c r="I488" t="s">
        <v>38</v>
      </c>
      <c r="J488" s="1">
        <v>45485</v>
      </c>
      <c r="K488" t="s">
        <v>24</v>
      </c>
      <c r="L488" s="1">
        <v>45933</v>
      </c>
      <c r="M488" t="s">
        <v>82</v>
      </c>
      <c r="N488">
        <v>8</v>
      </c>
      <c r="O488">
        <v>3</v>
      </c>
      <c r="P488">
        <v>50</v>
      </c>
      <c r="Q488" t="s">
        <v>26</v>
      </c>
      <c r="R488">
        <f>IF(subscriptions[[#This Row],[churned]]="Yes",1,0)</f>
        <v>1</v>
      </c>
      <c r="S488">
        <f ca="1">IF(subscriptions[[#This Row],[churn_flag]]=1, DATEDIF(subscriptions[[#This Row],[signup_date]],subscriptions[[#This Row],[churn_date]],"M"), DATEDIF(subscriptions[[#This Row],[signup_date]],TODAY(),"M"))</f>
        <v>14</v>
      </c>
      <c r="T488">
        <f ca="1">subscriptions[[#This Row],[monthly_revenue]]*subscriptions[[#This Row],[customer_lifetime]]</f>
        <v>771.4</v>
      </c>
      <c r="U488" t="str">
        <f>IF(subscriptions[[#This Row],[feature_usage_pct]]&lt;30,"High Risk",IF(subscriptions[[#This Row],[feature_usage_pct]]&lt;60,"Medium Risk","Low Risk"))</f>
        <v>Medium Risk</v>
      </c>
      <c r="V488">
        <f ca="1">subscriptions[[#This Row],[CLV]]/200</f>
        <v>3.8569999999999998</v>
      </c>
    </row>
    <row r="489" spans="1:22" x14ac:dyDescent="0.25">
      <c r="A489" t="s">
        <v>542</v>
      </c>
      <c r="B489" t="s">
        <v>36</v>
      </c>
      <c r="C489" t="s">
        <v>28</v>
      </c>
      <c r="D489" t="s">
        <v>62</v>
      </c>
      <c r="E489" s="2" t="s">
        <v>664</v>
      </c>
      <c r="F489">
        <v>7</v>
      </c>
      <c r="G489">
        <v>321.38</v>
      </c>
      <c r="H489" t="s">
        <v>34</v>
      </c>
      <c r="I489" t="s">
        <v>23</v>
      </c>
      <c r="J489" s="1">
        <v>44825</v>
      </c>
      <c r="K489" t="s">
        <v>26</v>
      </c>
      <c r="N489">
        <v>2</v>
      </c>
      <c r="O489">
        <v>6</v>
      </c>
      <c r="P489">
        <v>84</v>
      </c>
      <c r="Q489" t="s">
        <v>26</v>
      </c>
      <c r="R489">
        <f>IF(subscriptions[[#This Row],[churned]]="Yes",1,0)</f>
        <v>0</v>
      </c>
      <c r="S489">
        <f ca="1">IF(subscriptions[[#This Row],[churn_flag]]=1, DATEDIF(subscriptions[[#This Row],[signup_date]],subscriptions[[#This Row],[churn_date]],"M"), DATEDIF(subscriptions[[#This Row],[signup_date]],TODAY(),"M"))</f>
        <v>43</v>
      </c>
      <c r="T489">
        <f ca="1">subscriptions[[#This Row],[monthly_revenue]]*subscriptions[[#This Row],[customer_lifetime]]</f>
        <v>13819.34</v>
      </c>
      <c r="U489" t="str">
        <f>IF(subscriptions[[#This Row],[feature_usage_pct]]&lt;30,"High Risk",IF(subscriptions[[#This Row],[feature_usage_pct]]&lt;60,"Medium Risk","Low Risk"))</f>
        <v>Low Risk</v>
      </c>
      <c r="V489">
        <f ca="1">subscriptions[[#This Row],[CLV]]/200</f>
        <v>69.096699999999998</v>
      </c>
    </row>
    <row r="490" spans="1:22" x14ac:dyDescent="0.25">
      <c r="A490" t="s">
        <v>543</v>
      </c>
      <c r="B490" t="s">
        <v>18</v>
      </c>
      <c r="C490" t="s">
        <v>19</v>
      </c>
      <c r="D490" t="s">
        <v>79</v>
      </c>
      <c r="E490" s="2" t="s">
        <v>663</v>
      </c>
      <c r="F490">
        <v>24</v>
      </c>
      <c r="G490">
        <v>351.55</v>
      </c>
      <c r="H490" t="s">
        <v>43</v>
      </c>
      <c r="I490" t="s">
        <v>55</v>
      </c>
      <c r="J490" s="1">
        <v>45137</v>
      </c>
      <c r="K490" t="s">
        <v>24</v>
      </c>
      <c r="L490" s="1">
        <v>45779</v>
      </c>
      <c r="M490" t="s">
        <v>63</v>
      </c>
      <c r="N490">
        <v>15</v>
      </c>
      <c r="O490">
        <v>5</v>
      </c>
      <c r="P490">
        <v>26</v>
      </c>
      <c r="Q490" t="s">
        <v>26</v>
      </c>
      <c r="R490">
        <f>IF(subscriptions[[#This Row],[churned]]="Yes",1,0)</f>
        <v>1</v>
      </c>
      <c r="S490">
        <f ca="1">IF(subscriptions[[#This Row],[churn_flag]]=1, DATEDIF(subscriptions[[#This Row],[signup_date]],subscriptions[[#This Row],[churn_date]],"M"), DATEDIF(subscriptions[[#This Row],[signup_date]],TODAY(),"M"))</f>
        <v>21</v>
      </c>
      <c r="T490">
        <f ca="1">subscriptions[[#This Row],[monthly_revenue]]*subscriptions[[#This Row],[customer_lifetime]]</f>
        <v>7382.55</v>
      </c>
      <c r="U490" t="str">
        <f>IF(subscriptions[[#This Row],[feature_usage_pct]]&lt;30,"High Risk",IF(subscriptions[[#This Row],[feature_usage_pct]]&lt;60,"Medium Risk","Low Risk"))</f>
        <v>High Risk</v>
      </c>
      <c r="V490">
        <f ca="1">subscriptions[[#This Row],[CLV]]/200</f>
        <v>36.912750000000003</v>
      </c>
    </row>
    <row r="491" spans="1:22" x14ac:dyDescent="0.25">
      <c r="A491" t="s">
        <v>544</v>
      </c>
      <c r="B491" t="s">
        <v>71</v>
      </c>
      <c r="C491" t="s">
        <v>19</v>
      </c>
      <c r="D491" t="s">
        <v>49</v>
      </c>
      <c r="E491" s="2" t="s">
        <v>664</v>
      </c>
      <c r="F491">
        <v>6</v>
      </c>
      <c r="G491">
        <v>873.25</v>
      </c>
      <c r="H491" t="s">
        <v>43</v>
      </c>
      <c r="I491" t="s">
        <v>23</v>
      </c>
      <c r="J491" s="1">
        <v>44647</v>
      </c>
      <c r="K491" t="s">
        <v>24</v>
      </c>
      <c r="L491" s="1">
        <v>45710</v>
      </c>
      <c r="M491" t="s">
        <v>56</v>
      </c>
      <c r="N491">
        <v>11</v>
      </c>
      <c r="O491">
        <v>3</v>
      </c>
      <c r="P491">
        <v>19</v>
      </c>
      <c r="Q491" t="s">
        <v>26</v>
      </c>
      <c r="R491">
        <f>IF(subscriptions[[#This Row],[churned]]="Yes",1,0)</f>
        <v>1</v>
      </c>
      <c r="S491">
        <f ca="1">IF(subscriptions[[#This Row],[churn_flag]]=1, DATEDIF(subscriptions[[#This Row],[signup_date]],subscriptions[[#This Row],[churn_date]],"M"), DATEDIF(subscriptions[[#This Row],[signup_date]],TODAY(),"M"))</f>
        <v>34</v>
      </c>
      <c r="T491">
        <f ca="1">subscriptions[[#This Row],[monthly_revenue]]*subscriptions[[#This Row],[customer_lifetime]]</f>
        <v>29690.5</v>
      </c>
      <c r="U491" t="str">
        <f>IF(subscriptions[[#This Row],[feature_usage_pct]]&lt;30,"High Risk",IF(subscriptions[[#This Row],[feature_usage_pct]]&lt;60,"Medium Risk","Low Risk"))</f>
        <v>High Risk</v>
      </c>
      <c r="V491">
        <f ca="1">subscriptions[[#This Row],[CLV]]/200</f>
        <v>148.45249999999999</v>
      </c>
    </row>
    <row r="492" spans="1:22" x14ac:dyDescent="0.25">
      <c r="A492" t="s">
        <v>545</v>
      </c>
      <c r="B492" t="s">
        <v>31</v>
      </c>
      <c r="C492" t="s">
        <v>19</v>
      </c>
      <c r="D492" t="s">
        <v>40</v>
      </c>
      <c r="E492" s="2" t="s">
        <v>45</v>
      </c>
      <c r="F492">
        <v>121</v>
      </c>
      <c r="G492">
        <v>551</v>
      </c>
      <c r="H492" t="s">
        <v>98</v>
      </c>
      <c r="I492" t="s">
        <v>38</v>
      </c>
      <c r="J492" s="1">
        <v>45444</v>
      </c>
      <c r="K492" t="s">
        <v>24</v>
      </c>
      <c r="L492" s="1">
        <v>45753</v>
      </c>
      <c r="M492" t="s">
        <v>25</v>
      </c>
      <c r="N492">
        <v>2</v>
      </c>
      <c r="O492">
        <v>6</v>
      </c>
      <c r="P492">
        <v>23</v>
      </c>
      <c r="Q492" t="s">
        <v>26</v>
      </c>
      <c r="R492">
        <f>IF(subscriptions[[#This Row],[churned]]="Yes",1,0)</f>
        <v>1</v>
      </c>
      <c r="S492">
        <f ca="1">IF(subscriptions[[#This Row],[churn_flag]]=1, DATEDIF(subscriptions[[#This Row],[signup_date]],subscriptions[[#This Row],[churn_date]],"M"), DATEDIF(subscriptions[[#This Row],[signup_date]],TODAY(),"M"))</f>
        <v>10</v>
      </c>
      <c r="T492">
        <f ca="1">subscriptions[[#This Row],[monthly_revenue]]*subscriptions[[#This Row],[customer_lifetime]]</f>
        <v>5510</v>
      </c>
      <c r="U492" t="str">
        <f>IF(subscriptions[[#This Row],[feature_usage_pct]]&lt;30,"High Risk",IF(subscriptions[[#This Row],[feature_usage_pct]]&lt;60,"Medium Risk","Low Risk"))</f>
        <v>High Risk</v>
      </c>
      <c r="V492">
        <f ca="1">subscriptions[[#This Row],[CLV]]/200</f>
        <v>27.55</v>
      </c>
    </row>
    <row r="493" spans="1:22" x14ac:dyDescent="0.25">
      <c r="A493" t="s">
        <v>546</v>
      </c>
      <c r="B493" t="s">
        <v>18</v>
      </c>
      <c r="C493" t="s">
        <v>19</v>
      </c>
      <c r="D493" t="s">
        <v>32</v>
      </c>
      <c r="E493" s="2" t="s">
        <v>664</v>
      </c>
      <c r="F493">
        <v>4</v>
      </c>
      <c r="G493">
        <v>114.55</v>
      </c>
      <c r="H493" t="s">
        <v>43</v>
      </c>
      <c r="I493" t="s">
        <v>38</v>
      </c>
      <c r="J493" s="1">
        <v>44899</v>
      </c>
      <c r="K493" t="s">
        <v>24</v>
      </c>
      <c r="L493" s="1">
        <v>45747</v>
      </c>
      <c r="M493" t="s">
        <v>56</v>
      </c>
      <c r="N493">
        <v>15</v>
      </c>
      <c r="O493">
        <v>1</v>
      </c>
      <c r="P493">
        <v>27</v>
      </c>
      <c r="Q493" t="s">
        <v>26</v>
      </c>
      <c r="R493">
        <f>IF(subscriptions[[#This Row],[churned]]="Yes",1,0)</f>
        <v>1</v>
      </c>
      <c r="S493">
        <f ca="1">IF(subscriptions[[#This Row],[churn_flag]]=1, DATEDIF(subscriptions[[#This Row],[signup_date]],subscriptions[[#This Row],[churn_date]],"M"), DATEDIF(subscriptions[[#This Row],[signup_date]],TODAY(),"M"))</f>
        <v>27</v>
      </c>
      <c r="T493">
        <f ca="1">subscriptions[[#This Row],[monthly_revenue]]*subscriptions[[#This Row],[customer_lifetime]]</f>
        <v>3092.85</v>
      </c>
      <c r="U493" t="str">
        <f>IF(subscriptions[[#This Row],[feature_usage_pct]]&lt;30,"High Risk",IF(subscriptions[[#This Row],[feature_usage_pct]]&lt;60,"Medium Risk","Low Risk"))</f>
        <v>High Risk</v>
      </c>
      <c r="V493">
        <f ca="1">subscriptions[[#This Row],[CLV]]/200</f>
        <v>15.46425</v>
      </c>
    </row>
    <row r="494" spans="1:22" x14ac:dyDescent="0.25">
      <c r="A494" t="s">
        <v>547</v>
      </c>
      <c r="B494" t="s">
        <v>31</v>
      </c>
      <c r="C494" t="s">
        <v>28</v>
      </c>
      <c r="D494" t="s">
        <v>32</v>
      </c>
      <c r="E494" s="2" t="s">
        <v>21</v>
      </c>
      <c r="F494">
        <v>73</v>
      </c>
      <c r="G494">
        <v>290.87</v>
      </c>
      <c r="H494" t="s">
        <v>22</v>
      </c>
      <c r="I494" t="s">
        <v>23</v>
      </c>
      <c r="J494" s="1">
        <v>45936</v>
      </c>
      <c r="K494" t="s">
        <v>26</v>
      </c>
      <c r="N494">
        <v>3</v>
      </c>
      <c r="O494">
        <v>7</v>
      </c>
      <c r="P494">
        <v>57</v>
      </c>
      <c r="Q494" t="s">
        <v>26</v>
      </c>
      <c r="R494">
        <f>IF(subscriptions[[#This Row],[churned]]="Yes",1,0)</f>
        <v>0</v>
      </c>
      <c r="S494">
        <f ca="1">IF(subscriptions[[#This Row],[churn_flag]]=1, DATEDIF(subscriptions[[#This Row],[signup_date]],subscriptions[[#This Row],[churn_date]],"M"), DATEDIF(subscriptions[[#This Row],[signup_date]],TODAY(),"M"))</f>
        <v>7</v>
      </c>
      <c r="T494">
        <f ca="1">subscriptions[[#This Row],[monthly_revenue]]*subscriptions[[#This Row],[customer_lifetime]]</f>
        <v>2036.0900000000001</v>
      </c>
      <c r="U494" t="str">
        <f>IF(subscriptions[[#This Row],[feature_usage_pct]]&lt;30,"High Risk",IF(subscriptions[[#This Row],[feature_usage_pct]]&lt;60,"Medium Risk","Low Risk"))</f>
        <v>Medium Risk</v>
      </c>
      <c r="V494">
        <f ca="1">subscriptions[[#This Row],[CLV]]/200</f>
        <v>10.18045</v>
      </c>
    </row>
    <row r="495" spans="1:22" x14ac:dyDescent="0.25">
      <c r="A495" t="s">
        <v>548</v>
      </c>
      <c r="B495" t="s">
        <v>36</v>
      </c>
      <c r="C495" t="s">
        <v>19</v>
      </c>
      <c r="D495" t="s">
        <v>20</v>
      </c>
      <c r="E495" s="2" t="s">
        <v>33</v>
      </c>
      <c r="F495">
        <v>199</v>
      </c>
      <c r="G495">
        <v>6109.3</v>
      </c>
      <c r="H495" t="s">
        <v>34</v>
      </c>
      <c r="I495" t="s">
        <v>23</v>
      </c>
      <c r="J495" s="1">
        <v>44711</v>
      </c>
      <c r="K495" t="s">
        <v>24</v>
      </c>
      <c r="L495" s="1">
        <v>45919</v>
      </c>
      <c r="M495" t="s">
        <v>82</v>
      </c>
      <c r="N495">
        <v>13</v>
      </c>
      <c r="O495">
        <v>4</v>
      </c>
      <c r="P495">
        <v>26</v>
      </c>
      <c r="Q495" t="s">
        <v>26</v>
      </c>
      <c r="R495">
        <f>IF(subscriptions[[#This Row],[churned]]="Yes",1,0)</f>
        <v>1</v>
      </c>
      <c r="S495">
        <f ca="1">IF(subscriptions[[#This Row],[churn_flag]]=1, DATEDIF(subscriptions[[#This Row],[signup_date]],subscriptions[[#This Row],[churn_date]],"M"), DATEDIF(subscriptions[[#This Row],[signup_date]],TODAY(),"M"))</f>
        <v>39</v>
      </c>
      <c r="T495">
        <f ca="1">subscriptions[[#This Row],[monthly_revenue]]*subscriptions[[#This Row],[customer_lifetime]]</f>
        <v>238262.7</v>
      </c>
      <c r="U495" t="str">
        <f>IF(subscriptions[[#This Row],[feature_usage_pct]]&lt;30,"High Risk",IF(subscriptions[[#This Row],[feature_usage_pct]]&lt;60,"Medium Risk","Low Risk"))</f>
        <v>High Risk</v>
      </c>
      <c r="V495">
        <f ca="1">subscriptions[[#This Row],[CLV]]/200</f>
        <v>1191.3135</v>
      </c>
    </row>
    <row r="496" spans="1:22" x14ac:dyDescent="0.25">
      <c r="A496" t="s">
        <v>549</v>
      </c>
      <c r="B496" t="s">
        <v>36</v>
      </c>
      <c r="C496" t="s">
        <v>19</v>
      </c>
      <c r="D496" t="s">
        <v>52</v>
      </c>
      <c r="E496" s="2" t="s">
        <v>663</v>
      </c>
      <c r="F496">
        <v>21</v>
      </c>
      <c r="G496">
        <v>796</v>
      </c>
      <c r="H496" t="s">
        <v>60</v>
      </c>
      <c r="I496" t="s">
        <v>55</v>
      </c>
      <c r="J496" s="1">
        <v>44783</v>
      </c>
      <c r="K496" t="s">
        <v>24</v>
      </c>
      <c r="L496" s="1">
        <v>45269</v>
      </c>
      <c r="M496" t="s">
        <v>63</v>
      </c>
      <c r="N496">
        <v>4</v>
      </c>
      <c r="O496">
        <v>1</v>
      </c>
      <c r="P496">
        <v>13</v>
      </c>
      <c r="Q496" t="s">
        <v>26</v>
      </c>
      <c r="R496">
        <f>IF(subscriptions[[#This Row],[churned]]="Yes",1,0)</f>
        <v>1</v>
      </c>
      <c r="S496">
        <f ca="1">IF(subscriptions[[#This Row],[churn_flag]]=1, DATEDIF(subscriptions[[#This Row],[signup_date]],subscriptions[[#This Row],[churn_date]],"M"), DATEDIF(subscriptions[[#This Row],[signup_date]],TODAY(),"M"))</f>
        <v>15</v>
      </c>
      <c r="T496">
        <f ca="1">subscriptions[[#This Row],[monthly_revenue]]*subscriptions[[#This Row],[customer_lifetime]]</f>
        <v>11940</v>
      </c>
      <c r="U496" t="str">
        <f>IF(subscriptions[[#This Row],[feature_usage_pct]]&lt;30,"High Risk",IF(subscriptions[[#This Row],[feature_usage_pct]]&lt;60,"Medium Risk","Low Risk"))</f>
        <v>High Risk</v>
      </c>
      <c r="V496">
        <f ca="1">subscriptions[[#This Row],[CLV]]/200</f>
        <v>59.7</v>
      </c>
    </row>
    <row r="497" spans="1:22" x14ac:dyDescent="0.25">
      <c r="A497" t="s">
        <v>550</v>
      </c>
      <c r="B497" t="s">
        <v>31</v>
      </c>
      <c r="C497" t="s">
        <v>28</v>
      </c>
      <c r="D497" t="s">
        <v>32</v>
      </c>
      <c r="E497" s="2" t="s">
        <v>664</v>
      </c>
      <c r="F497">
        <v>4</v>
      </c>
      <c r="G497">
        <v>35.74</v>
      </c>
      <c r="H497" t="s">
        <v>43</v>
      </c>
      <c r="I497" t="s">
        <v>38</v>
      </c>
      <c r="J497" s="1">
        <v>45104</v>
      </c>
      <c r="K497" t="s">
        <v>24</v>
      </c>
      <c r="L497" s="1">
        <v>45180</v>
      </c>
      <c r="M497" t="s">
        <v>25</v>
      </c>
      <c r="N497">
        <v>1</v>
      </c>
      <c r="O497">
        <v>1</v>
      </c>
      <c r="P497">
        <v>39</v>
      </c>
      <c r="Q497" t="s">
        <v>26</v>
      </c>
      <c r="R497">
        <f>IF(subscriptions[[#This Row],[churned]]="Yes",1,0)</f>
        <v>1</v>
      </c>
      <c r="S497">
        <f ca="1">IF(subscriptions[[#This Row],[churn_flag]]=1, DATEDIF(subscriptions[[#This Row],[signup_date]],subscriptions[[#This Row],[churn_date]],"M"), DATEDIF(subscriptions[[#This Row],[signup_date]],TODAY(),"M"))</f>
        <v>2</v>
      </c>
      <c r="T497">
        <f ca="1">subscriptions[[#This Row],[monthly_revenue]]*subscriptions[[#This Row],[customer_lifetime]]</f>
        <v>71.48</v>
      </c>
      <c r="U497" t="str">
        <f>IF(subscriptions[[#This Row],[feature_usage_pct]]&lt;30,"High Risk",IF(subscriptions[[#This Row],[feature_usage_pct]]&lt;60,"Medium Risk","Low Risk"))</f>
        <v>Medium Risk</v>
      </c>
      <c r="V497">
        <f ca="1">subscriptions[[#This Row],[CLV]]/200</f>
        <v>0.3574</v>
      </c>
    </row>
    <row r="498" spans="1:22" x14ac:dyDescent="0.25">
      <c r="A498" t="s">
        <v>551</v>
      </c>
      <c r="B498" t="s">
        <v>71</v>
      </c>
      <c r="C498" t="s">
        <v>19</v>
      </c>
      <c r="D498" t="s">
        <v>68</v>
      </c>
      <c r="E498" s="2" t="s">
        <v>664</v>
      </c>
      <c r="F498">
        <v>4</v>
      </c>
      <c r="G498">
        <v>723.55</v>
      </c>
      <c r="H498" t="s">
        <v>60</v>
      </c>
      <c r="I498" t="s">
        <v>23</v>
      </c>
      <c r="J498" s="1">
        <v>45325</v>
      </c>
      <c r="K498" t="s">
        <v>26</v>
      </c>
      <c r="N498">
        <v>0</v>
      </c>
      <c r="O498">
        <v>6</v>
      </c>
      <c r="P498">
        <v>47</v>
      </c>
      <c r="Q498" t="s">
        <v>26</v>
      </c>
      <c r="R498">
        <f>IF(subscriptions[[#This Row],[churned]]="Yes",1,0)</f>
        <v>0</v>
      </c>
      <c r="S498">
        <f ca="1">IF(subscriptions[[#This Row],[churn_flag]]=1, DATEDIF(subscriptions[[#This Row],[signup_date]],subscriptions[[#This Row],[churn_date]],"M"), DATEDIF(subscriptions[[#This Row],[signup_date]],TODAY(),"M"))</f>
        <v>27</v>
      </c>
      <c r="T498">
        <f ca="1">subscriptions[[#This Row],[monthly_revenue]]*subscriptions[[#This Row],[customer_lifetime]]</f>
        <v>19535.849999999999</v>
      </c>
      <c r="U498" t="str">
        <f>IF(subscriptions[[#This Row],[feature_usage_pct]]&lt;30,"High Risk",IF(subscriptions[[#This Row],[feature_usage_pct]]&lt;60,"Medium Risk","Low Risk"))</f>
        <v>Medium Risk</v>
      </c>
      <c r="V498">
        <f ca="1">subscriptions[[#This Row],[CLV]]/200</f>
        <v>97.679249999999996</v>
      </c>
    </row>
    <row r="499" spans="1:22" x14ac:dyDescent="0.25">
      <c r="A499" t="s">
        <v>552</v>
      </c>
      <c r="B499" t="s">
        <v>36</v>
      </c>
      <c r="C499" t="s">
        <v>28</v>
      </c>
      <c r="D499" t="s">
        <v>62</v>
      </c>
      <c r="E499" s="2" t="s">
        <v>663</v>
      </c>
      <c r="F499">
        <v>5</v>
      </c>
      <c r="G499">
        <v>270.64</v>
      </c>
      <c r="H499" t="s">
        <v>98</v>
      </c>
      <c r="I499" t="s">
        <v>38</v>
      </c>
      <c r="J499" s="1">
        <v>46015</v>
      </c>
      <c r="K499" t="s">
        <v>26</v>
      </c>
      <c r="N499">
        <v>3</v>
      </c>
      <c r="O499">
        <v>5</v>
      </c>
      <c r="P499">
        <v>48</v>
      </c>
      <c r="Q499" t="s">
        <v>26</v>
      </c>
      <c r="R499">
        <f>IF(subscriptions[[#This Row],[churned]]="Yes",1,0)</f>
        <v>0</v>
      </c>
      <c r="S499">
        <f ca="1">IF(subscriptions[[#This Row],[churn_flag]]=1, DATEDIF(subscriptions[[#This Row],[signup_date]],subscriptions[[#This Row],[churn_date]],"M"), DATEDIF(subscriptions[[#This Row],[signup_date]],TODAY(),"M"))</f>
        <v>4</v>
      </c>
      <c r="T499">
        <f ca="1">subscriptions[[#This Row],[monthly_revenue]]*subscriptions[[#This Row],[customer_lifetime]]</f>
        <v>1082.56</v>
      </c>
      <c r="U499" t="str">
        <f>IF(subscriptions[[#This Row],[feature_usage_pct]]&lt;30,"High Risk",IF(subscriptions[[#This Row],[feature_usage_pct]]&lt;60,"Medium Risk","Low Risk"))</f>
        <v>Medium Risk</v>
      </c>
      <c r="V499">
        <f ca="1">subscriptions[[#This Row],[CLV]]/200</f>
        <v>5.4127999999999998</v>
      </c>
    </row>
    <row r="500" spans="1:22" x14ac:dyDescent="0.25">
      <c r="A500" t="s">
        <v>553</v>
      </c>
      <c r="B500" t="s">
        <v>36</v>
      </c>
      <c r="C500" t="s">
        <v>19</v>
      </c>
      <c r="D500" t="s">
        <v>62</v>
      </c>
      <c r="E500" s="2" t="s">
        <v>663</v>
      </c>
      <c r="F500">
        <v>15</v>
      </c>
      <c r="G500">
        <v>616.9</v>
      </c>
      <c r="H500" t="s">
        <v>43</v>
      </c>
      <c r="I500" t="s">
        <v>23</v>
      </c>
      <c r="J500" s="1">
        <v>45722</v>
      </c>
      <c r="K500" t="s">
        <v>26</v>
      </c>
      <c r="N500">
        <v>11</v>
      </c>
      <c r="O500">
        <v>10</v>
      </c>
      <c r="P500">
        <v>37</v>
      </c>
      <c r="Q500" t="s">
        <v>26</v>
      </c>
      <c r="R500">
        <f>IF(subscriptions[[#This Row],[churned]]="Yes",1,0)</f>
        <v>0</v>
      </c>
      <c r="S500">
        <f ca="1">IF(subscriptions[[#This Row],[churn_flag]]=1, DATEDIF(subscriptions[[#This Row],[signup_date]],subscriptions[[#This Row],[churn_date]],"M"), DATEDIF(subscriptions[[#This Row],[signup_date]],TODAY(),"M"))</f>
        <v>14</v>
      </c>
      <c r="T500">
        <f ca="1">subscriptions[[#This Row],[monthly_revenue]]*subscriptions[[#This Row],[customer_lifetime]]</f>
        <v>8636.6</v>
      </c>
      <c r="U500" t="str">
        <f>IF(subscriptions[[#This Row],[feature_usage_pct]]&lt;30,"High Risk",IF(subscriptions[[#This Row],[feature_usage_pct]]&lt;60,"Medium Risk","Low Risk"))</f>
        <v>Medium Risk</v>
      </c>
      <c r="V500">
        <f ca="1">subscriptions[[#This Row],[CLV]]/200</f>
        <v>43.183</v>
      </c>
    </row>
    <row r="501" spans="1:22" x14ac:dyDescent="0.25">
      <c r="A501" t="s">
        <v>554</v>
      </c>
      <c r="B501" t="s">
        <v>18</v>
      </c>
      <c r="C501" t="s">
        <v>19</v>
      </c>
      <c r="D501" t="s">
        <v>49</v>
      </c>
      <c r="E501" s="2" t="s">
        <v>21</v>
      </c>
      <c r="F501">
        <v>71</v>
      </c>
      <c r="G501">
        <v>908.5</v>
      </c>
      <c r="H501" t="s">
        <v>43</v>
      </c>
      <c r="I501" t="s">
        <v>23</v>
      </c>
      <c r="J501" s="1">
        <v>45989</v>
      </c>
      <c r="K501" t="s">
        <v>26</v>
      </c>
      <c r="N501">
        <v>4</v>
      </c>
      <c r="O501">
        <v>5</v>
      </c>
      <c r="P501">
        <v>70</v>
      </c>
      <c r="Q501" t="s">
        <v>26</v>
      </c>
      <c r="R501">
        <f>IF(subscriptions[[#This Row],[churned]]="Yes",1,0)</f>
        <v>0</v>
      </c>
      <c r="S501">
        <f ca="1">IF(subscriptions[[#This Row],[churn_flag]]=1, DATEDIF(subscriptions[[#This Row],[signup_date]],subscriptions[[#This Row],[churn_date]],"M"), DATEDIF(subscriptions[[#This Row],[signup_date]],TODAY(),"M"))</f>
        <v>5</v>
      </c>
      <c r="T501">
        <f ca="1">subscriptions[[#This Row],[monthly_revenue]]*subscriptions[[#This Row],[customer_lifetime]]</f>
        <v>4542.5</v>
      </c>
      <c r="U501" t="str">
        <f>IF(subscriptions[[#This Row],[feature_usage_pct]]&lt;30,"High Risk",IF(subscriptions[[#This Row],[feature_usage_pct]]&lt;60,"Medium Risk","Low Risk"))</f>
        <v>Low Risk</v>
      </c>
      <c r="V501">
        <f ca="1">subscriptions[[#This Row],[CLV]]/200</f>
        <v>22.712499999999999</v>
      </c>
    </row>
    <row r="502" spans="1:22" x14ac:dyDescent="0.25">
      <c r="A502" t="s">
        <v>555</v>
      </c>
      <c r="B502" t="s">
        <v>31</v>
      </c>
      <c r="C502" t="s">
        <v>28</v>
      </c>
      <c r="D502" t="s">
        <v>62</v>
      </c>
      <c r="E502" s="2" t="s">
        <v>33</v>
      </c>
      <c r="F502">
        <v>144</v>
      </c>
      <c r="G502">
        <v>553.39</v>
      </c>
      <c r="H502" t="s">
        <v>34</v>
      </c>
      <c r="I502" t="s">
        <v>23</v>
      </c>
      <c r="J502" s="1">
        <v>45137</v>
      </c>
      <c r="K502" t="s">
        <v>24</v>
      </c>
      <c r="L502" s="1">
        <v>45319</v>
      </c>
      <c r="M502" t="s">
        <v>56</v>
      </c>
      <c r="N502">
        <v>6</v>
      </c>
      <c r="O502">
        <v>3</v>
      </c>
      <c r="P502">
        <v>45</v>
      </c>
      <c r="Q502" t="s">
        <v>26</v>
      </c>
      <c r="R502">
        <f>IF(subscriptions[[#This Row],[churned]]="Yes",1,0)</f>
        <v>1</v>
      </c>
      <c r="S502">
        <f ca="1">IF(subscriptions[[#This Row],[churn_flag]]=1, DATEDIF(subscriptions[[#This Row],[signup_date]],subscriptions[[#This Row],[churn_date]],"M"), DATEDIF(subscriptions[[#This Row],[signup_date]],TODAY(),"M"))</f>
        <v>5</v>
      </c>
      <c r="T502">
        <f ca="1">subscriptions[[#This Row],[monthly_revenue]]*subscriptions[[#This Row],[customer_lifetime]]</f>
        <v>2766.95</v>
      </c>
      <c r="U502" t="str">
        <f>IF(subscriptions[[#This Row],[feature_usage_pct]]&lt;30,"High Risk",IF(subscriptions[[#This Row],[feature_usage_pct]]&lt;60,"Medium Risk","Low Risk"))</f>
        <v>Medium Risk</v>
      </c>
      <c r="V502">
        <f ca="1">subscriptions[[#This Row],[CLV]]/200</f>
        <v>13.83475</v>
      </c>
    </row>
    <row r="503" spans="1:22" x14ac:dyDescent="0.25">
      <c r="A503" t="s">
        <v>556</v>
      </c>
      <c r="B503" t="s">
        <v>18</v>
      </c>
      <c r="C503" t="s">
        <v>28</v>
      </c>
      <c r="D503" t="s">
        <v>20</v>
      </c>
      <c r="E503" s="2" t="s">
        <v>663</v>
      </c>
      <c r="F503">
        <v>32</v>
      </c>
      <c r="G503">
        <v>379.4</v>
      </c>
      <c r="H503" t="s">
        <v>43</v>
      </c>
      <c r="I503" t="s">
        <v>38</v>
      </c>
      <c r="J503" s="1">
        <v>45593</v>
      </c>
      <c r="K503" t="s">
        <v>26</v>
      </c>
      <c r="N503">
        <v>5</v>
      </c>
      <c r="O503">
        <v>9</v>
      </c>
      <c r="P503">
        <v>36</v>
      </c>
      <c r="Q503" t="s">
        <v>26</v>
      </c>
      <c r="R503">
        <f>IF(subscriptions[[#This Row],[churned]]="Yes",1,0)</f>
        <v>0</v>
      </c>
      <c r="S503">
        <f ca="1">IF(subscriptions[[#This Row],[churn_flag]]=1, DATEDIF(subscriptions[[#This Row],[signup_date]],subscriptions[[#This Row],[churn_date]],"M"), DATEDIF(subscriptions[[#This Row],[signup_date]],TODAY(),"M"))</f>
        <v>18</v>
      </c>
      <c r="T503">
        <f ca="1">subscriptions[[#This Row],[monthly_revenue]]*subscriptions[[#This Row],[customer_lifetime]]</f>
        <v>6829.2</v>
      </c>
      <c r="U503" t="str">
        <f>IF(subscriptions[[#This Row],[feature_usage_pct]]&lt;30,"High Risk",IF(subscriptions[[#This Row],[feature_usage_pct]]&lt;60,"Medium Risk","Low Risk"))</f>
        <v>Medium Risk</v>
      </c>
      <c r="V503">
        <f ca="1">subscriptions[[#This Row],[CLV]]/200</f>
        <v>34.146000000000001</v>
      </c>
    </row>
    <row r="504" spans="1:22" x14ac:dyDescent="0.25">
      <c r="A504" t="s">
        <v>557</v>
      </c>
      <c r="B504" t="s">
        <v>71</v>
      </c>
      <c r="C504" t="s">
        <v>28</v>
      </c>
      <c r="D504" t="s">
        <v>37</v>
      </c>
      <c r="E504" s="2" t="s">
        <v>663</v>
      </c>
      <c r="F504">
        <v>23</v>
      </c>
      <c r="G504">
        <v>1823.84</v>
      </c>
      <c r="H504" t="s">
        <v>22</v>
      </c>
      <c r="I504" t="s">
        <v>69</v>
      </c>
      <c r="J504" s="1">
        <v>45677</v>
      </c>
      <c r="K504" t="s">
        <v>26</v>
      </c>
      <c r="N504">
        <v>10</v>
      </c>
      <c r="O504">
        <v>7</v>
      </c>
      <c r="P504">
        <v>16</v>
      </c>
      <c r="Q504" t="s">
        <v>26</v>
      </c>
      <c r="R504">
        <f>IF(subscriptions[[#This Row],[churned]]="Yes",1,0)</f>
        <v>0</v>
      </c>
      <c r="S504">
        <f ca="1">IF(subscriptions[[#This Row],[churn_flag]]=1, DATEDIF(subscriptions[[#This Row],[signup_date]],subscriptions[[#This Row],[churn_date]],"M"), DATEDIF(subscriptions[[#This Row],[signup_date]],TODAY(),"M"))</f>
        <v>15</v>
      </c>
      <c r="T504">
        <f ca="1">subscriptions[[#This Row],[monthly_revenue]]*subscriptions[[#This Row],[customer_lifetime]]</f>
        <v>27357.599999999999</v>
      </c>
      <c r="U504" t="str">
        <f>IF(subscriptions[[#This Row],[feature_usage_pct]]&lt;30,"High Risk",IF(subscriptions[[#This Row],[feature_usage_pct]]&lt;60,"Medium Risk","Low Risk"))</f>
        <v>High Risk</v>
      </c>
      <c r="V504">
        <f ca="1">subscriptions[[#This Row],[CLV]]/200</f>
        <v>136.78799999999998</v>
      </c>
    </row>
    <row r="505" spans="1:22" x14ac:dyDescent="0.25">
      <c r="A505" t="s">
        <v>558</v>
      </c>
      <c r="B505" t="s">
        <v>31</v>
      </c>
      <c r="C505" t="s">
        <v>19</v>
      </c>
      <c r="D505" t="s">
        <v>20</v>
      </c>
      <c r="E505" s="2" t="s">
        <v>663</v>
      </c>
      <c r="F505">
        <v>15</v>
      </c>
      <c r="G505">
        <v>89.9</v>
      </c>
      <c r="H505" t="s">
        <v>22</v>
      </c>
      <c r="I505" t="s">
        <v>38</v>
      </c>
      <c r="J505" s="1">
        <v>45759</v>
      </c>
      <c r="K505" t="s">
        <v>24</v>
      </c>
      <c r="L505" s="1">
        <v>45785</v>
      </c>
      <c r="M505" t="s">
        <v>53</v>
      </c>
      <c r="N505">
        <v>14</v>
      </c>
      <c r="O505">
        <v>3</v>
      </c>
      <c r="P505">
        <v>26</v>
      </c>
      <c r="Q505" t="s">
        <v>26</v>
      </c>
      <c r="R505">
        <f>IF(subscriptions[[#This Row],[churned]]="Yes",1,0)</f>
        <v>1</v>
      </c>
      <c r="S505">
        <f ca="1">IF(subscriptions[[#This Row],[churn_flag]]=1, DATEDIF(subscriptions[[#This Row],[signup_date]],subscriptions[[#This Row],[churn_date]],"M"), DATEDIF(subscriptions[[#This Row],[signup_date]],TODAY(),"M"))</f>
        <v>0</v>
      </c>
      <c r="T505">
        <f ca="1">subscriptions[[#This Row],[monthly_revenue]]*subscriptions[[#This Row],[customer_lifetime]]</f>
        <v>0</v>
      </c>
      <c r="U505" t="str">
        <f>IF(subscriptions[[#This Row],[feature_usage_pct]]&lt;30,"High Risk",IF(subscriptions[[#This Row],[feature_usage_pct]]&lt;60,"Medium Risk","Low Risk"))</f>
        <v>High Risk</v>
      </c>
      <c r="V505">
        <f ca="1">subscriptions[[#This Row],[CLV]]/200</f>
        <v>0</v>
      </c>
    </row>
    <row r="506" spans="1:22" x14ac:dyDescent="0.25">
      <c r="A506" t="s">
        <v>559</v>
      </c>
      <c r="B506" t="s">
        <v>36</v>
      </c>
      <c r="C506" t="s">
        <v>19</v>
      </c>
      <c r="D506" t="s">
        <v>42</v>
      </c>
      <c r="E506" s="2" t="s">
        <v>21</v>
      </c>
      <c r="F506">
        <v>49</v>
      </c>
      <c r="G506">
        <v>1631.8</v>
      </c>
      <c r="H506" t="s">
        <v>43</v>
      </c>
      <c r="I506" t="s">
        <v>23</v>
      </c>
      <c r="J506" s="1">
        <v>44693</v>
      </c>
      <c r="K506" t="s">
        <v>24</v>
      </c>
      <c r="L506" s="1">
        <v>45142</v>
      </c>
      <c r="M506" t="s">
        <v>53</v>
      </c>
      <c r="N506">
        <v>10</v>
      </c>
      <c r="O506">
        <v>6</v>
      </c>
      <c r="P506">
        <v>16</v>
      </c>
      <c r="Q506" t="s">
        <v>26</v>
      </c>
      <c r="R506">
        <f>IF(subscriptions[[#This Row],[churned]]="Yes",1,0)</f>
        <v>1</v>
      </c>
      <c r="S506">
        <f ca="1">IF(subscriptions[[#This Row],[churn_flag]]=1, DATEDIF(subscriptions[[#This Row],[signup_date]],subscriptions[[#This Row],[churn_date]],"M"), DATEDIF(subscriptions[[#This Row],[signup_date]],TODAY(),"M"))</f>
        <v>14</v>
      </c>
      <c r="T506">
        <f ca="1">subscriptions[[#This Row],[monthly_revenue]]*subscriptions[[#This Row],[customer_lifetime]]</f>
        <v>22845.200000000001</v>
      </c>
      <c r="U506" t="str">
        <f>IF(subscriptions[[#This Row],[feature_usage_pct]]&lt;30,"High Risk",IF(subscriptions[[#This Row],[feature_usage_pct]]&lt;60,"Medium Risk","Low Risk"))</f>
        <v>High Risk</v>
      </c>
      <c r="V506">
        <f ca="1">subscriptions[[#This Row],[CLV]]/200</f>
        <v>114.226</v>
      </c>
    </row>
    <row r="507" spans="1:22" x14ac:dyDescent="0.25">
      <c r="A507" t="s">
        <v>560</v>
      </c>
      <c r="B507" t="s">
        <v>31</v>
      </c>
      <c r="C507" t="s">
        <v>19</v>
      </c>
      <c r="D507" t="s">
        <v>42</v>
      </c>
      <c r="E507" s="2" t="s">
        <v>663</v>
      </c>
      <c r="F507">
        <v>26</v>
      </c>
      <c r="G507">
        <v>137.75</v>
      </c>
      <c r="H507" t="s">
        <v>22</v>
      </c>
      <c r="I507" t="s">
        <v>69</v>
      </c>
      <c r="J507" s="1">
        <v>45604</v>
      </c>
      <c r="K507" t="s">
        <v>24</v>
      </c>
      <c r="L507" s="1">
        <v>45894</v>
      </c>
      <c r="M507" t="s">
        <v>63</v>
      </c>
      <c r="N507">
        <v>12</v>
      </c>
      <c r="O507">
        <v>2</v>
      </c>
      <c r="P507">
        <v>26</v>
      </c>
      <c r="Q507" t="s">
        <v>26</v>
      </c>
      <c r="R507">
        <f>IF(subscriptions[[#This Row],[churned]]="Yes",1,0)</f>
        <v>1</v>
      </c>
      <c r="S507">
        <f ca="1">IF(subscriptions[[#This Row],[churn_flag]]=1, DATEDIF(subscriptions[[#This Row],[signup_date]],subscriptions[[#This Row],[churn_date]],"M"), DATEDIF(subscriptions[[#This Row],[signup_date]],TODAY(),"M"))</f>
        <v>9</v>
      </c>
      <c r="T507">
        <f ca="1">subscriptions[[#This Row],[monthly_revenue]]*subscriptions[[#This Row],[customer_lifetime]]</f>
        <v>1239.75</v>
      </c>
      <c r="U507" t="str">
        <f>IF(subscriptions[[#This Row],[feature_usage_pct]]&lt;30,"High Risk",IF(subscriptions[[#This Row],[feature_usage_pct]]&lt;60,"Medium Risk","Low Risk"))</f>
        <v>High Risk</v>
      </c>
      <c r="V507">
        <f ca="1">subscriptions[[#This Row],[CLV]]/200</f>
        <v>6.1987500000000004</v>
      </c>
    </row>
    <row r="508" spans="1:22" x14ac:dyDescent="0.25">
      <c r="A508" t="s">
        <v>561</v>
      </c>
      <c r="B508" t="s">
        <v>36</v>
      </c>
      <c r="C508" t="s">
        <v>28</v>
      </c>
      <c r="D508" t="s">
        <v>40</v>
      </c>
      <c r="E508" s="2" t="s">
        <v>663</v>
      </c>
      <c r="F508">
        <v>35</v>
      </c>
      <c r="G508">
        <v>1031.82</v>
      </c>
      <c r="H508" t="s">
        <v>34</v>
      </c>
      <c r="I508" t="s">
        <v>23</v>
      </c>
      <c r="J508" s="1">
        <v>45768</v>
      </c>
      <c r="K508" t="s">
        <v>26</v>
      </c>
      <c r="N508">
        <v>2</v>
      </c>
      <c r="O508">
        <v>6</v>
      </c>
      <c r="P508">
        <v>70</v>
      </c>
      <c r="Q508" t="s">
        <v>24</v>
      </c>
      <c r="R508">
        <f>IF(subscriptions[[#This Row],[churned]]="Yes",1,0)</f>
        <v>0</v>
      </c>
      <c r="S508">
        <f ca="1">IF(subscriptions[[#This Row],[churn_flag]]=1, DATEDIF(subscriptions[[#This Row],[signup_date]],subscriptions[[#This Row],[churn_date]],"M"), DATEDIF(subscriptions[[#This Row],[signup_date]],TODAY(),"M"))</f>
        <v>12</v>
      </c>
      <c r="T508">
        <f ca="1">subscriptions[[#This Row],[monthly_revenue]]*subscriptions[[#This Row],[customer_lifetime]]</f>
        <v>12381.84</v>
      </c>
      <c r="U508" t="str">
        <f>IF(subscriptions[[#This Row],[feature_usage_pct]]&lt;30,"High Risk",IF(subscriptions[[#This Row],[feature_usage_pct]]&lt;60,"Medium Risk","Low Risk"))</f>
        <v>Low Risk</v>
      </c>
      <c r="V508">
        <f ca="1">subscriptions[[#This Row],[CLV]]/200</f>
        <v>61.909199999999998</v>
      </c>
    </row>
    <row r="509" spans="1:22" x14ac:dyDescent="0.25">
      <c r="A509" t="s">
        <v>562</v>
      </c>
      <c r="B509" t="s">
        <v>31</v>
      </c>
      <c r="C509" t="s">
        <v>28</v>
      </c>
      <c r="D509" t="s">
        <v>32</v>
      </c>
      <c r="E509" s="2" t="s">
        <v>21</v>
      </c>
      <c r="F509">
        <v>54</v>
      </c>
      <c r="G509">
        <v>220.62</v>
      </c>
      <c r="H509" t="s">
        <v>43</v>
      </c>
      <c r="I509" t="s">
        <v>55</v>
      </c>
      <c r="J509" s="1">
        <v>44630</v>
      </c>
      <c r="K509" t="s">
        <v>24</v>
      </c>
      <c r="L509" s="1">
        <v>44874</v>
      </c>
      <c r="M509" t="s">
        <v>56</v>
      </c>
      <c r="N509">
        <v>3</v>
      </c>
      <c r="O509">
        <v>2</v>
      </c>
      <c r="P509">
        <v>33</v>
      </c>
      <c r="Q509" t="s">
        <v>26</v>
      </c>
      <c r="R509">
        <f>IF(subscriptions[[#This Row],[churned]]="Yes",1,0)</f>
        <v>1</v>
      </c>
      <c r="S509">
        <f ca="1">IF(subscriptions[[#This Row],[churn_flag]]=1, DATEDIF(subscriptions[[#This Row],[signup_date]],subscriptions[[#This Row],[churn_date]],"M"), DATEDIF(subscriptions[[#This Row],[signup_date]],TODAY(),"M"))</f>
        <v>7</v>
      </c>
      <c r="T509">
        <f ca="1">subscriptions[[#This Row],[monthly_revenue]]*subscriptions[[#This Row],[customer_lifetime]]</f>
        <v>1544.3400000000001</v>
      </c>
      <c r="U509" t="str">
        <f>IF(subscriptions[[#This Row],[feature_usage_pct]]&lt;30,"High Risk",IF(subscriptions[[#This Row],[feature_usage_pct]]&lt;60,"Medium Risk","Low Risk"))</f>
        <v>Medium Risk</v>
      </c>
      <c r="V509">
        <f ca="1">subscriptions[[#This Row],[CLV]]/200</f>
        <v>7.7217000000000011</v>
      </c>
    </row>
    <row r="510" spans="1:22" x14ac:dyDescent="0.25">
      <c r="A510" t="s">
        <v>563</v>
      </c>
      <c r="B510" t="s">
        <v>31</v>
      </c>
      <c r="C510" t="s">
        <v>19</v>
      </c>
      <c r="D510" t="s">
        <v>62</v>
      </c>
      <c r="E510" s="2" t="s">
        <v>33</v>
      </c>
      <c r="F510">
        <v>56</v>
      </c>
      <c r="G510">
        <v>268.25</v>
      </c>
      <c r="H510" t="s">
        <v>43</v>
      </c>
      <c r="I510" t="s">
        <v>69</v>
      </c>
      <c r="J510" s="1">
        <v>45058</v>
      </c>
      <c r="K510" t="s">
        <v>24</v>
      </c>
      <c r="L510" s="1">
        <v>45111</v>
      </c>
      <c r="M510" t="s">
        <v>50</v>
      </c>
      <c r="N510">
        <v>12</v>
      </c>
      <c r="O510">
        <v>2</v>
      </c>
      <c r="P510">
        <v>17</v>
      </c>
      <c r="Q510" t="s">
        <v>26</v>
      </c>
      <c r="R510">
        <f>IF(subscriptions[[#This Row],[churned]]="Yes",1,0)</f>
        <v>1</v>
      </c>
      <c r="S510">
        <f ca="1">IF(subscriptions[[#This Row],[churn_flag]]=1, DATEDIF(subscriptions[[#This Row],[signup_date]],subscriptions[[#This Row],[churn_date]],"M"), DATEDIF(subscriptions[[#This Row],[signup_date]],TODAY(),"M"))</f>
        <v>1</v>
      </c>
      <c r="T510">
        <f ca="1">subscriptions[[#This Row],[monthly_revenue]]*subscriptions[[#This Row],[customer_lifetime]]</f>
        <v>268.25</v>
      </c>
      <c r="U510" t="str">
        <f>IF(subscriptions[[#This Row],[feature_usage_pct]]&lt;30,"High Risk",IF(subscriptions[[#This Row],[feature_usage_pct]]&lt;60,"Medium Risk","Low Risk"))</f>
        <v>High Risk</v>
      </c>
      <c r="V510">
        <f ca="1">subscriptions[[#This Row],[CLV]]/200</f>
        <v>1.3412500000000001</v>
      </c>
    </row>
    <row r="511" spans="1:22" x14ac:dyDescent="0.25">
      <c r="A511" t="s">
        <v>564</v>
      </c>
      <c r="B511" t="s">
        <v>36</v>
      </c>
      <c r="C511" t="s">
        <v>19</v>
      </c>
      <c r="D511" t="s">
        <v>62</v>
      </c>
      <c r="E511" s="2" t="s">
        <v>663</v>
      </c>
      <c r="F511">
        <v>27</v>
      </c>
      <c r="G511">
        <v>975.1</v>
      </c>
      <c r="H511" t="s">
        <v>43</v>
      </c>
      <c r="I511" t="s">
        <v>55</v>
      </c>
      <c r="J511" s="1">
        <v>45530</v>
      </c>
      <c r="K511" t="s">
        <v>24</v>
      </c>
      <c r="L511" s="1">
        <v>45754</v>
      </c>
      <c r="M511" t="s">
        <v>50</v>
      </c>
      <c r="N511">
        <v>9</v>
      </c>
      <c r="O511">
        <v>2</v>
      </c>
      <c r="P511">
        <v>24</v>
      </c>
      <c r="Q511" t="s">
        <v>26</v>
      </c>
      <c r="R511">
        <f>IF(subscriptions[[#This Row],[churned]]="Yes",1,0)</f>
        <v>1</v>
      </c>
      <c r="S511">
        <f ca="1">IF(subscriptions[[#This Row],[churn_flag]]=1, DATEDIF(subscriptions[[#This Row],[signup_date]],subscriptions[[#This Row],[churn_date]],"M"), DATEDIF(subscriptions[[#This Row],[signup_date]],TODAY(),"M"))</f>
        <v>7</v>
      </c>
      <c r="T511">
        <f ca="1">subscriptions[[#This Row],[monthly_revenue]]*subscriptions[[#This Row],[customer_lifetime]]</f>
        <v>6825.7</v>
      </c>
      <c r="U511" t="str">
        <f>IF(subscriptions[[#This Row],[feature_usage_pct]]&lt;30,"High Risk",IF(subscriptions[[#This Row],[feature_usage_pct]]&lt;60,"Medium Risk","Low Risk"))</f>
        <v>High Risk</v>
      </c>
      <c r="V511">
        <f ca="1">subscriptions[[#This Row],[CLV]]/200</f>
        <v>34.128500000000003</v>
      </c>
    </row>
    <row r="512" spans="1:22" x14ac:dyDescent="0.25">
      <c r="A512" t="s">
        <v>565</v>
      </c>
      <c r="B512" t="s">
        <v>18</v>
      </c>
      <c r="C512" t="s">
        <v>19</v>
      </c>
      <c r="D512" t="s">
        <v>62</v>
      </c>
      <c r="E512" s="2" t="s">
        <v>663</v>
      </c>
      <c r="F512">
        <v>25</v>
      </c>
      <c r="G512">
        <v>363.4</v>
      </c>
      <c r="H512" t="s">
        <v>60</v>
      </c>
      <c r="I512" t="s">
        <v>23</v>
      </c>
      <c r="J512" s="1">
        <v>45923</v>
      </c>
      <c r="K512" t="s">
        <v>26</v>
      </c>
      <c r="N512">
        <v>6</v>
      </c>
      <c r="O512">
        <v>4</v>
      </c>
      <c r="P512">
        <v>30</v>
      </c>
      <c r="Q512" t="s">
        <v>26</v>
      </c>
      <c r="R512">
        <f>IF(subscriptions[[#This Row],[churned]]="Yes",1,0)</f>
        <v>0</v>
      </c>
      <c r="S512">
        <f ca="1">IF(subscriptions[[#This Row],[churn_flag]]=1, DATEDIF(subscriptions[[#This Row],[signup_date]],subscriptions[[#This Row],[churn_date]],"M"), DATEDIF(subscriptions[[#This Row],[signup_date]],TODAY(),"M"))</f>
        <v>7</v>
      </c>
      <c r="T512">
        <f ca="1">subscriptions[[#This Row],[monthly_revenue]]*subscriptions[[#This Row],[customer_lifetime]]</f>
        <v>2543.7999999999997</v>
      </c>
      <c r="U512" t="str">
        <f>IF(subscriptions[[#This Row],[feature_usage_pct]]&lt;30,"High Risk",IF(subscriptions[[#This Row],[feature_usage_pct]]&lt;60,"Medium Risk","Low Risk"))</f>
        <v>Medium Risk</v>
      </c>
      <c r="V512">
        <f ca="1">subscriptions[[#This Row],[CLV]]/200</f>
        <v>12.718999999999999</v>
      </c>
    </row>
    <row r="513" spans="1:22" x14ac:dyDescent="0.25">
      <c r="A513" t="s">
        <v>566</v>
      </c>
      <c r="B513" t="s">
        <v>31</v>
      </c>
      <c r="C513" t="s">
        <v>28</v>
      </c>
      <c r="D513" t="s">
        <v>79</v>
      </c>
      <c r="E513" s="2" t="s">
        <v>21</v>
      </c>
      <c r="F513">
        <v>26</v>
      </c>
      <c r="G513">
        <v>117.09</v>
      </c>
      <c r="H513" t="s">
        <v>43</v>
      </c>
      <c r="I513" t="s">
        <v>38</v>
      </c>
      <c r="J513" s="1">
        <v>44943</v>
      </c>
      <c r="K513" t="s">
        <v>24</v>
      </c>
      <c r="L513" s="1">
        <v>45085</v>
      </c>
      <c r="M513" t="s">
        <v>53</v>
      </c>
      <c r="N513">
        <v>15</v>
      </c>
      <c r="O513">
        <v>2</v>
      </c>
      <c r="P513">
        <v>36</v>
      </c>
      <c r="Q513" t="s">
        <v>26</v>
      </c>
      <c r="R513">
        <f>IF(subscriptions[[#This Row],[churned]]="Yes",1,0)</f>
        <v>1</v>
      </c>
      <c r="S513">
        <f ca="1">IF(subscriptions[[#This Row],[churn_flag]]=1, DATEDIF(subscriptions[[#This Row],[signup_date]],subscriptions[[#This Row],[churn_date]],"M"), DATEDIF(subscriptions[[#This Row],[signup_date]],TODAY(),"M"))</f>
        <v>4</v>
      </c>
      <c r="T513">
        <f ca="1">subscriptions[[#This Row],[monthly_revenue]]*subscriptions[[#This Row],[customer_lifetime]]</f>
        <v>468.36</v>
      </c>
      <c r="U513" t="str">
        <f>IF(subscriptions[[#This Row],[feature_usage_pct]]&lt;30,"High Risk",IF(subscriptions[[#This Row],[feature_usage_pct]]&lt;60,"Medium Risk","Low Risk"))</f>
        <v>Medium Risk</v>
      </c>
      <c r="V513">
        <f ca="1">subscriptions[[#This Row],[CLV]]/200</f>
        <v>2.3418000000000001</v>
      </c>
    </row>
    <row r="514" spans="1:22" x14ac:dyDescent="0.25">
      <c r="A514" t="s">
        <v>567</v>
      </c>
      <c r="B514" t="s">
        <v>18</v>
      </c>
      <c r="C514" t="s">
        <v>28</v>
      </c>
      <c r="D514" t="s">
        <v>62</v>
      </c>
      <c r="E514" s="2" t="s">
        <v>664</v>
      </c>
      <c r="F514">
        <v>8</v>
      </c>
      <c r="G514">
        <v>137.66</v>
      </c>
      <c r="H514" t="s">
        <v>43</v>
      </c>
      <c r="I514" t="s">
        <v>23</v>
      </c>
      <c r="J514" s="1">
        <v>45311</v>
      </c>
      <c r="K514" t="s">
        <v>24</v>
      </c>
      <c r="L514" s="1">
        <v>45323</v>
      </c>
      <c r="M514" t="s">
        <v>56</v>
      </c>
      <c r="N514">
        <v>6</v>
      </c>
      <c r="O514">
        <v>5</v>
      </c>
      <c r="P514">
        <v>13</v>
      </c>
      <c r="Q514" t="s">
        <v>26</v>
      </c>
      <c r="R514">
        <f>IF(subscriptions[[#This Row],[churned]]="Yes",1,0)</f>
        <v>1</v>
      </c>
      <c r="S514">
        <f ca="1">IF(subscriptions[[#This Row],[churn_flag]]=1, DATEDIF(subscriptions[[#This Row],[signup_date]],subscriptions[[#This Row],[churn_date]],"M"), DATEDIF(subscriptions[[#This Row],[signup_date]],TODAY(),"M"))</f>
        <v>0</v>
      </c>
      <c r="T514">
        <f ca="1">subscriptions[[#This Row],[monthly_revenue]]*subscriptions[[#This Row],[customer_lifetime]]</f>
        <v>0</v>
      </c>
      <c r="U514" t="str">
        <f>IF(subscriptions[[#This Row],[feature_usage_pct]]&lt;30,"High Risk",IF(subscriptions[[#This Row],[feature_usage_pct]]&lt;60,"Medium Risk","Low Risk"))</f>
        <v>High Risk</v>
      </c>
      <c r="V514">
        <f ca="1">subscriptions[[#This Row],[CLV]]/200</f>
        <v>0</v>
      </c>
    </row>
    <row r="515" spans="1:22" x14ac:dyDescent="0.25">
      <c r="A515" t="s">
        <v>568</v>
      </c>
      <c r="B515" t="s">
        <v>36</v>
      </c>
      <c r="C515" t="s">
        <v>19</v>
      </c>
      <c r="D515" t="s">
        <v>32</v>
      </c>
      <c r="E515" s="2" t="s">
        <v>45</v>
      </c>
      <c r="F515">
        <v>68</v>
      </c>
      <c r="G515">
        <v>2198.9499999999998</v>
      </c>
      <c r="H515" t="s">
        <v>60</v>
      </c>
      <c r="I515" t="s">
        <v>69</v>
      </c>
      <c r="J515" s="1">
        <v>45318</v>
      </c>
      <c r="K515" t="s">
        <v>24</v>
      </c>
      <c r="L515" s="1">
        <v>45462</v>
      </c>
      <c r="M515" t="s">
        <v>53</v>
      </c>
      <c r="N515">
        <v>15</v>
      </c>
      <c r="O515">
        <v>1</v>
      </c>
      <c r="P515">
        <v>19</v>
      </c>
      <c r="Q515" t="s">
        <v>26</v>
      </c>
      <c r="R515">
        <f>IF(subscriptions[[#This Row],[churned]]="Yes",1,0)</f>
        <v>1</v>
      </c>
      <c r="S515">
        <f ca="1">IF(subscriptions[[#This Row],[churn_flag]]=1, DATEDIF(subscriptions[[#This Row],[signup_date]],subscriptions[[#This Row],[churn_date]],"M"), DATEDIF(subscriptions[[#This Row],[signup_date]],TODAY(),"M"))</f>
        <v>4</v>
      </c>
      <c r="T515">
        <f ca="1">subscriptions[[#This Row],[monthly_revenue]]*subscriptions[[#This Row],[customer_lifetime]]</f>
        <v>8795.7999999999993</v>
      </c>
      <c r="U515" t="str">
        <f>IF(subscriptions[[#This Row],[feature_usage_pct]]&lt;30,"High Risk",IF(subscriptions[[#This Row],[feature_usage_pct]]&lt;60,"Medium Risk","Low Risk"))</f>
        <v>High Risk</v>
      </c>
      <c r="V515">
        <f ca="1">subscriptions[[#This Row],[CLV]]/200</f>
        <v>43.978999999999999</v>
      </c>
    </row>
    <row r="516" spans="1:22" x14ac:dyDescent="0.25">
      <c r="A516" t="s">
        <v>569</v>
      </c>
      <c r="B516" t="s">
        <v>71</v>
      </c>
      <c r="C516" t="s">
        <v>19</v>
      </c>
      <c r="D516" t="s">
        <v>32</v>
      </c>
      <c r="E516" s="2" t="s">
        <v>664</v>
      </c>
      <c r="F516">
        <v>2</v>
      </c>
      <c r="G516">
        <v>573.85</v>
      </c>
      <c r="H516" t="s">
        <v>22</v>
      </c>
      <c r="I516" t="s">
        <v>23</v>
      </c>
      <c r="J516" s="1">
        <v>44652</v>
      </c>
      <c r="K516" t="s">
        <v>26</v>
      </c>
      <c r="N516">
        <v>7</v>
      </c>
      <c r="O516">
        <v>8</v>
      </c>
      <c r="P516">
        <v>28</v>
      </c>
      <c r="Q516" t="s">
        <v>26</v>
      </c>
      <c r="R516">
        <f>IF(subscriptions[[#This Row],[churned]]="Yes",1,0)</f>
        <v>0</v>
      </c>
      <c r="S516">
        <f ca="1">IF(subscriptions[[#This Row],[churn_flag]]=1, DATEDIF(subscriptions[[#This Row],[signup_date]],subscriptions[[#This Row],[churn_date]],"M"), DATEDIF(subscriptions[[#This Row],[signup_date]],TODAY(),"M"))</f>
        <v>49</v>
      </c>
      <c r="T516">
        <f ca="1">subscriptions[[#This Row],[monthly_revenue]]*subscriptions[[#This Row],[customer_lifetime]]</f>
        <v>28118.65</v>
      </c>
      <c r="U516" t="str">
        <f>IF(subscriptions[[#This Row],[feature_usage_pct]]&lt;30,"High Risk",IF(subscriptions[[#This Row],[feature_usage_pct]]&lt;60,"Medium Risk","Low Risk"))</f>
        <v>High Risk</v>
      </c>
      <c r="V516">
        <f ca="1">subscriptions[[#This Row],[CLV]]/200</f>
        <v>140.59325000000001</v>
      </c>
    </row>
    <row r="517" spans="1:22" x14ac:dyDescent="0.25">
      <c r="A517" t="s">
        <v>570</v>
      </c>
      <c r="B517" t="s">
        <v>36</v>
      </c>
      <c r="C517" t="s">
        <v>19</v>
      </c>
      <c r="D517" t="s">
        <v>62</v>
      </c>
      <c r="E517" s="2" t="s">
        <v>21</v>
      </c>
      <c r="F517">
        <v>42</v>
      </c>
      <c r="G517">
        <v>1422.85</v>
      </c>
      <c r="H517" t="s">
        <v>34</v>
      </c>
      <c r="I517" t="s">
        <v>38</v>
      </c>
      <c r="J517" s="1">
        <v>45612</v>
      </c>
      <c r="K517" t="s">
        <v>26</v>
      </c>
      <c r="N517">
        <v>10</v>
      </c>
      <c r="O517">
        <v>2</v>
      </c>
      <c r="P517">
        <v>17</v>
      </c>
      <c r="Q517" t="s">
        <v>26</v>
      </c>
      <c r="R517">
        <f>IF(subscriptions[[#This Row],[churned]]="Yes",1,0)</f>
        <v>0</v>
      </c>
      <c r="S517">
        <f ca="1">IF(subscriptions[[#This Row],[churn_flag]]=1, DATEDIF(subscriptions[[#This Row],[signup_date]],subscriptions[[#This Row],[churn_date]],"M"), DATEDIF(subscriptions[[#This Row],[signup_date]],TODAY(),"M"))</f>
        <v>17</v>
      </c>
      <c r="T517">
        <f ca="1">subscriptions[[#This Row],[monthly_revenue]]*subscriptions[[#This Row],[customer_lifetime]]</f>
        <v>24188.449999999997</v>
      </c>
      <c r="U517" t="str">
        <f>IF(subscriptions[[#This Row],[feature_usage_pct]]&lt;30,"High Risk",IF(subscriptions[[#This Row],[feature_usage_pct]]&lt;60,"Medium Risk","Low Risk"))</f>
        <v>High Risk</v>
      </c>
      <c r="V517">
        <f ca="1">subscriptions[[#This Row],[CLV]]/200</f>
        <v>120.94224999999999</v>
      </c>
    </row>
    <row r="518" spans="1:22" x14ac:dyDescent="0.25">
      <c r="A518" t="s">
        <v>571</v>
      </c>
      <c r="B518" t="s">
        <v>18</v>
      </c>
      <c r="C518" t="s">
        <v>19</v>
      </c>
      <c r="D518" t="s">
        <v>52</v>
      </c>
      <c r="E518" s="2" t="s">
        <v>21</v>
      </c>
      <c r="F518">
        <v>59</v>
      </c>
      <c r="G518">
        <v>766.3</v>
      </c>
      <c r="H518" t="s">
        <v>98</v>
      </c>
      <c r="I518" t="s">
        <v>38</v>
      </c>
      <c r="J518" s="1">
        <v>45412</v>
      </c>
      <c r="K518" t="s">
        <v>24</v>
      </c>
      <c r="L518" s="1">
        <v>45579</v>
      </c>
      <c r="M518" t="s">
        <v>56</v>
      </c>
      <c r="N518">
        <v>12</v>
      </c>
      <c r="O518">
        <v>4</v>
      </c>
      <c r="P518">
        <v>42</v>
      </c>
      <c r="Q518" t="s">
        <v>26</v>
      </c>
      <c r="R518">
        <f>IF(subscriptions[[#This Row],[churned]]="Yes",1,0)</f>
        <v>1</v>
      </c>
      <c r="S518">
        <f ca="1">IF(subscriptions[[#This Row],[churn_flag]]=1, DATEDIF(subscriptions[[#This Row],[signup_date]],subscriptions[[#This Row],[churn_date]],"M"), DATEDIF(subscriptions[[#This Row],[signup_date]],TODAY(),"M"))</f>
        <v>5</v>
      </c>
      <c r="T518">
        <f ca="1">subscriptions[[#This Row],[monthly_revenue]]*subscriptions[[#This Row],[customer_lifetime]]</f>
        <v>3831.5</v>
      </c>
      <c r="U518" t="str">
        <f>IF(subscriptions[[#This Row],[feature_usage_pct]]&lt;30,"High Risk",IF(subscriptions[[#This Row],[feature_usage_pct]]&lt;60,"Medium Risk","Low Risk"))</f>
        <v>Medium Risk</v>
      </c>
      <c r="V518">
        <f ca="1">subscriptions[[#This Row],[CLV]]/200</f>
        <v>19.157499999999999</v>
      </c>
    </row>
    <row r="519" spans="1:22" x14ac:dyDescent="0.25">
      <c r="A519" t="s">
        <v>572</v>
      </c>
      <c r="B519" t="s">
        <v>31</v>
      </c>
      <c r="C519" t="s">
        <v>28</v>
      </c>
      <c r="D519" t="s">
        <v>40</v>
      </c>
      <c r="E519" s="2" t="s">
        <v>663</v>
      </c>
      <c r="F519">
        <v>21</v>
      </c>
      <c r="G519">
        <v>98.6</v>
      </c>
      <c r="H519" t="s">
        <v>60</v>
      </c>
      <c r="I519" t="s">
        <v>23</v>
      </c>
      <c r="J519" s="1">
        <v>45797</v>
      </c>
      <c r="K519" t="s">
        <v>26</v>
      </c>
      <c r="N519">
        <v>4</v>
      </c>
      <c r="O519">
        <v>7</v>
      </c>
      <c r="P519">
        <v>71</v>
      </c>
      <c r="Q519" t="s">
        <v>26</v>
      </c>
      <c r="R519">
        <f>IF(subscriptions[[#This Row],[churned]]="Yes",1,0)</f>
        <v>0</v>
      </c>
      <c r="S519">
        <f ca="1">IF(subscriptions[[#This Row],[churn_flag]]=1, DATEDIF(subscriptions[[#This Row],[signup_date]],subscriptions[[#This Row],[churn_date]],"M"), DATEDIF(subscriptions[[#This Row],[signup_date]],TODAY(),"M"))</f>
        <v>11</v>
      </c>
      <c r="T519">
        <f ca="1">subscriptions[[#This Row],[monthly_revenue]]*subscriptions[[#This Row],[customer_lifetime]]</f>
        <v>1084.5999999999999</v>
      </c>
      <c r="U519" t="str">
        <f>IF(subscriptions[[#This Row],[feature_usage_pct]]&lt;30,"High Risk",IF(subscriptions[[#This Row],[feature_usage_pct]]&lt;60,"Medium Risk","Low Risk"))</f>
        <v>Low Risk</v>
      </c>
      <c r="V519">
        <f ca="1">subscriptions[[#This Row],[CLV]]/200</f>
        <v>5.4229999999999992</v>
      </c>
    </row>
    <row r="520" spans="1:22" x14ac:dyDescent="0.25">
      <c r="A520" t="s">
        <v>573</v>
      </c>
      <c r="B520" t="s">
        <v>36</v>
      </c>
      <c r="C520" t="s">
        <v>28</v>
      </c>
      <c r="D520" t="s">
        <v>49</v>
      </c>
      <c r="E520" s="2" t="s">
        <v>663</v>
      </c>
      <c r="F520">
        <v>34</v>
      </c>
      <c r="G520">
        <v>1006.44</v>
      </c>
      <c r="H520" t="s">
        <v>60</v>
      </c>
      <c r="I520" t="s">
        <v>55</v>
      </c>
      <c r="J520" s="1">
        <v>44791</v>
      </c>
      <c r="K520" t="s">
        <v>26</v>
      </c>
      <c r="N520">
        <v>10</v>
      </c>
      <c r="O520">
        <v>4</v>
      </c>
      <c r="P520">
        <v>84</v>
      </c>
      <c r="Q520" t="s">
        <v>26</v>
      </c>
      <c r="R520">
        <f>IF(subscriptions[[#This Row],[churned]]="Yes",1,0)</f>
        <v>0</v>
      </c>
      <c r="S520">
        <f ca="1">IF(subscriptions[[#This Row],[churn_flag]]=1, DATEDIF(subscriptions[[#This Row],[signup_date]],subscriptions[[#This Row],[churn_date]],"M"), DATEDIF(subscriptions[[#This Row],[signup_date]],TODAY(),"M"))</f>
        <v>44</v>
      </c>
      <c r="T520">
        <f ca="1">subscriptions[[#This Row],[monthly_revenue]]*subscriptions[[#This Row],[customer_lifetime]]</f>
        <v>44283.360000000001</v>
      </c>
      <c r="U520" t="str">
        <f>IF(subscriptions[[#This Row],[feature_usage_pct]]&lt;30,"High Risk",IF(subscriptions[[#This Row],[feature_usage_pct]]&lt;60,"Medium Risk","Low Risk"))</f>
        <v>Low Risk</v>
      </c>
      <c r="V520">
        <f ca="1">subscriptions[[#This Row],[CLV]]/200</f>
        <v>221.41679999999999</v>
      </c>
    </row>
    <row r="521" spans="1:22" x14ac:dyDescent="0.25">
      <c r="A521" t="s">
        <v>574</v>
      </c>
      <c r="B521" t="s">
        <v>18</v>
      </c>
      <c r="C521" t="s">
        <v>19</v>
      </c>
      <c r="D521" t="s">
        <v>52</v>
      </c>
      <c r="E521" s="2" t="s">
        <v>663</v>
      </c>
      <c r="F521">
        <v>31</v>
      </c>
      <c r="G521">
        <v>434.5</v>
      </c>
      <c r="H521" t="s">
        <v>60</v>
      </c>
      <c r="I521" t="s">
        <v>38</v>
      </c>
      <c r="J521" s="1">
        <v>44724</v>
      </c>
      <c r="K521" t="s">
        <v>24</v>
      </c>
      <c r="L521" s="1">
        <v>45412</v>
      </c>
      <c r="M521" t="s">
        <v>50</v>
      </c>
      <c r="N521">
        <v>10</v>
      </c>
      <c r="O521">
        <v>4</v>
      </c>
      <c r="P521">
        <v>20</v>
      </c>
      <c r="Q521" t="s">
        <v>26</v>
      </c>
      <c r="R521">
        <f>IF(subscriptions[[#This Row],[churned]]="Yes",1,0)</f>
        <v>1</v>
      </c>
      <c r="S521">
        <f ca="1">IF(subscriptions[[#This Row],[churn_flag]]=1, DATEDIF(subscriptions[[#This Row],[signup_date]],subscriptions[[#This Row],[churn_date]],"M"), DATEDIF(subscriptions[[#This Row],[signup_date]],TODAY(),"M"))</f>
        <v>22</v>
      </c>
      <c r="T521">
        <f ca="1">subscriptions[[#This Row],[monthly_revenue]]*subscriptions[[#This Row],[customer_lifetime]]</f>
        <v>9559</v>
      </c>
      <c r="U521" t="str">
        <f>IF(subscriptions[[#This Row],[feature_usage_pct]]&lt;30,"High Risk",IF(subscriptions[[#This Row],[feature_usage_pct]]&lt;60,"Medium Risk","Low Risk"))</f>
        <v>High Risk</v>
      </c>
      <c r="V521">
        <f ca="1">subscriptions[[#This Row],[CLV]]/200</f>
        <v>47.795000000000002</v>
      </c>
    </row>
    <row r="522" spans="1:22" x14ac:dyDescent="0.25">
      <c r="A522" t="s">
        <v>575</v>
      </c>
      <c r="B522" t="s">
        <v>71</v>
      </c>
      <c r="C522" t="s">
        <v>19</v>
      </c>
      <c r="D522" t="s">
        <v>32</v>
      </c>
      <c r="E522" s="2" t="s">
        <v>664</v>
      </c>
      <c r="F522">
        <v>4</v>
      </c>
      <c r="G522">
        <v>723.55</v>
      </c>
      <c r="H522" t="s">
        <v>22</v>
      </c>
      <c r="I522" t="s">
        <v>55</v>
      </c>
      <c r="J522" s="1">
        <v>45505</v>
      </c>
      <c r="K522" t="s">
        <v>24</v>
      </c>
      <c r="L522" s="1">
        <v>45787</v>
      </c>
      <c r="M522" t="s">
        <v>56</v>
      </c>
      <c r="N522">
        <v>5</v>
      </c>
      <c r="O522">
        <v>6</v>
      </c>
      <c r="P522">
        <v>31</v>
      </c>
      <c r="Q522" t="s">
        <v>26</v>
      </c>
      <c r="R522">
        <f>IF(subscriptions[[#This Row],[churned]]="Yes",1,0)</f>
        <v>1</v>
      </c>
      <c r="S522">
        <f ca="1">IF(subscriptions[[#This Row],[churn_flag]]=1, DATEDIF(subscriptions[[#This Row],[signup_date]],subscriptions[[#This Row],[churn_date]],"M"), DATEDIF(subscriptions[[#This Row],[signup_date]],TODAY(),"M"))</f>
        <v>9</v>
      </c>
      <c r="T522">
        <f ca="1">subscriptions[[#This Row],[monthly_revenue]]*subscriptions[[#This Row],[customer_lifetime]]</f>
        <v>6511.95</v>
      </c>
      <c r="U522" t="str">
        <f>IF(subscriptions[[#This Row],[feature_usage_pct]]&lt;30,"High Risk",IF(subscriptions[[#This Row],[feature_usage_pct]]&lt;60,"Medium Risk","Low Risk"))</f>
        <v>Medium Risk</v>
      </c>
      <c r="V522">
        <f ca="1">subscriptions[[#This Row],[CLV]]/200</f>
        <v>32.559750000000001</v>
      </c>
    </row>
    <row r="523" spans="1:22" x14ac:dyDescent="0.25">
      <c r="A523" t="s">
        <v>576</v>
      </c>
      <c r="B523" t="s">
        <v>71</v>
      </c>
      <c r="C523" t="s">
        <v>19</v>
      </c>
      <c r="D523" t="s">
        <v>42</v>
      </c>
      <c r="E523" s="2" t="s">
        <v>664</v>
      </c>
      <c r="F523">
        <v>7</v>
      </c>
      <c r="G523">
        <v>948.1</v>
      </c>
      <c r="H523" t="s">
        <v>29</v>
      </c>
      <c r="I523" t="s">
        <v>55</v>
      </c>
      <c r="J523" s="1">
        <v>45103</v>
      </c>
      <c r="K523" t="s">
        <v>26</v>
      </c>
      <c r="N523">
        <v>0</v>
      </c>
      <c r="O523">
        <v>5</v>
      </c>
      <c r="P523">
        <v>83</v>
      </c>
      <c r="Q523" t="s">
        <v>26</v>
      </c>
      <c r="R523">
        <f>IF(subscriptions[[#This Row],[churned]]="Yes",1,0)</f>
        <v>0</v>
      </c>
      <c r="S523">
        <f ca="1">IF(subscriptions[[#This Row],[churn_flag]]=1, DATEDIF(subscriptions[[#This Row],[signup_date]],subscriptions[[#This Row],[churn_date]],"M"), DATEDIF(subscriptions[[#This Row],[signup_date]],TODAY(),"M"))</f>
        <v>34</v>
      </c>
      <c r="T523">
        <f ca="1">subscriptions[[#This Row],[monthly_revenue]]*subscriptions[[#This Row],[customer_lifetime]]</f>
        <v>32235.4</v>
      </c>
      <c r="U523" t="str">
        <f>IF(subscriptions[[#This Row],[feature_usage_pct]]&lt;30,"High Risk",IF(subscriptions[[#This Row],[feature_usage_pct]]&lt;60,"Medium Risk","Low Risk"))</f>
        <v>Low Risk</v>
      </c>
      <c r="V523">
        <f ca="1">subscriptions[[#This Row],[CLV]]/200</f>
        <v>161.17700000000002</v>
      </c>
    </row>
    <row r="524" spans="1:22" x14ac:dyDescent="0.25">
      <c r="A524" t="s">
        <v>577</v>
      </c>
      <c r="B524" t="s">
        <v>36</v>
      </c>
      <c r="C524" t="s">
        <v>19</v>
      </c>
      <c r="D524" t="s">
        <v>52</v>
      </c>
      <c r="E524" s="2" t="s">
        <v>664</v>
      </c>
      <c r="F524">
        <v>7</v>
      </c>
      <c r="G524">
        <v>378.1</v>
      </c>
      <c r="H524" t="s">
        <v>34</v>
      </c>
      <c r="I524" t="s">
        <v>38</v>
      </c>
      <c r="J524" s="1">
        <v>45298</v>
      </c>
      <c r="K524" t="s">
        <v>24</v>
      </c>
      <c r="L524" s="1">
        <v>45773</v>
      </c>
      <c r="M524" t="s">
        <v>82</v>
      </c>
      <c r="N524">
        <v>0</v>
      </c>
      <c r="O524">
        <v>1</v>
      </c>
      <c r="P524">
        <v>36</v>
      </c>
      <c r="Q524" t="s">
        <v>26</v>
      </c>
      <c r="R524">
        <f>IF(subscriptions[[#This Row],[churned]]="Yes",1,0)</f>
        <v>1</v>
      </c>
      <c r="S524">
        <f ca="1">IF(subscriptions[[#This Row],[churn_flag]]=1, DATEDIF(subscriptions[[#This Row],[signup_date]],subscriptions[[#This Row],[churn_date]],"M"), DATEDIF(subscriptions[[#This Row],[signup_date]],TODAY(),"M"))</f>
        <v>15</v>
      </c>
      <c r="T524">
        <f ca="1">subscriptions[[#This Row],[monthly_revenue]]*subscriptions[[#This Row],[customer_lifetime]]</f>
        <v>5671.5</v>
      </c>
      <c r="U524" t="str">
        <f>IF(subscriptions[[#This Row],[feature_usage_pct]]&lt;30,"High Risk",IF(subscriptions[[#This Row],[feature_usage_pct]]&lt;60,"Medium Risk","Low Risk"))</f>
        <v>Medium Risk</v>
      </c>
      <c r="V524">
        <f ca="1">subscriptions[[#This Row],[CLV]]/200</f>
        <v>28.357500000000002</v>
      </c>
    </row>
    <row r="525" spans="1:22" x14ac:dyDescent="0.25">
      <c r="A525" t="s">
        <v>578</v>
      </c>
      <c r="B525" t="s">
        <v>18</v>
      </c>
      <c r="C525" t="s">
        <v>19</v>
      </c>
      <c r="D525" t="s">
        <v>49</v>
      </c>
      <c r="E525" s="2" t="s">
        <v>21</v>
      </c>
      <c r="F525">
        <v>59</v>
      </c>
      <c r="G525">
        <v>766.3</v>
      </c>
      <c r="H525" t="s">
        <v>34</v>
      </c>
      <c r="I525" t="s">
        <v>23</v>
      </c>
      <c r="J525" s="1">
        <v>44599</v>
      </c>
      <c r="K525" t="s">
        <v>26</v>
      </c>
      <c r="N525">
        <v>2</v>
      </c>
      <c r="O525">
        <v>7</v>
      </c>
      <c r="P525">
        <v>51</v>
      </c>
      <c r="Q525" t="s">
        <v>26</v>
      </c>
      <c r="R525">
        <f>IF(subscriptions[[#This Row],[churned]]="Yes",1,0)</f>
        <v>0</v>
      </c>
      <c r="S525">
        <f ca="1">IF(subscriptions[[#This Row],[churn_flag]]=1, DATEDIF(subscriptions[[#This Row],[signup_date]],subscriptions[[#This Row],[churn_date]],"M"), DATEDIF(subscriptions[[#This Row],[signup_date]],TODAY(),"M"))</f>
        <v>51</v>
      </c>
      <c r="T525">
        <f ca="1">subscriptions[[#This Row],[monthly_revenue]]*subscriptions[[#This Row],[customer_lifetime]]</f>
        <v>39081.299999999996</v>
      </c>
      <c r="U525" t="str">
        <f>IF(subscriptions[[#This Row],[feature_usage_pct]]&lt;30,"High Risk",IF(subscriptions[[#This Row],[feature_usage_pct]]&lt;60,"Medium Risk","Low Risk"))</f>
        <v>Medium Risk</v>
      </c>
      <c r="V525">
        <f ca="1">subscriptions[[#This Row],[CLV]]/200</f>
        <v>195.40649999999997</v>
      </c>
    </row>
    <row r="526" spans="1:22" x14ac:dyDescent="0.25">
      <c r="A526" t="s">
        <v>579</v>
      </c>
      <c r="B526" t="s">
        <v>71</v>
      </c>
      <c r="C526" t="s">
        <v>28</v>
      </c>
      <c r="D526" t="s">
        <v>40</v>
      </c>
      <c r="E526" s="2" t="s">
        <v>664</v>
      </c>
      <c r="F526">
        <v>1</v>
      </c>
      <c r="G526">
        <v>424.15</v>
      </c>
      <c r="H526" t="s">
        <v>60</v>
      </c>
      <c r="I526" t="s">
        <v>69</v>
      </c>
      <c r="J526" s="1">
        <v>44774</v>
      </c>
      <c r="K526" t="s">
        <v>26</v>
      </c>
      <c r="N526">
        <v>2</v>
      </c>
      <c r="O526">
        <v>1</v>
      </c>
      <c r="P526">
        <v>65</v>
      </c>
      <c r="Q526" t="s">
        <v>26</v>
      </c>
      <c r="R526">
        <f>IF(subscriptions[[#This Row],[churned]]="Yes",1,0)</f>
        <v>0</v>
      </c>
      <c r="S526">
        <f ca="1">IF(subscriptions[[#This Row],[churn_flag]]=1, DATEDIF(subscriptions[[#This Row],[signup_date]],subscriptions[[#This Row],[churn_date]],"M"), DATEDIF(subscriptions[[#This Row],[signup_date]],TODAY(),"M"))</f>
        <v>45</v>
      </c>
      <c r="T526">
        <f ca="1">subscriptions[[#This Row],[monthly_revenue]]*subscriptions[[#This Row],[customer_lifetime]]</f>
        <v>19086.75</v>
      </c>
      <c r="U526" t="str">
        <f>IF(subscriptions[[#This Row],[feature_usage_pct]]&lt;30,"High Risk",IF(subscriptions[[#This Row],[feature_usage_pct]]&lt;60,"Medium Risk","Low Risk"))</f>
        <v>Low Risk</v>
      </c>
      <c r="V526">
        <f ca="1">subscriptions[[#This Row],[CLV]]/200</f>
        <v>95.433750000000003</v>
      </c>
    </row>
    <row r="527" spans="1:22" x14ac:dyDescent="0.25">
      <c r="A527" t="s">
        <v>580</v>
      </c>
      <c r="B527" t="s">
        <v>18</v>
      </c>
      <c r="C527" t="s">
        <v>19</v>
      </c>
      <c r="D527" t="s">
        <v>37</v>
      </c>
      <c r="E527" s="2" t="s">
        <v>664</v>
      </c>
      <c r="F527">
        <v>8</v>
      </c>
      <c r="G527">
        <v>161.94999999999999</v>
      </c>
      <c r="H527" t="s">
        <v>60</v>
      </c>
      <c r="I527" t="s">
        <v>69</v>
      </c>
      <c r="J527" s="1">
        <v>45047</v>
      </c>
      <c r="K527" t="s">
        <v>24</v>
      </c>
      <c r="L527" s="1">
        <v>45101</v>
      </c>
      <c r="M527" t="s">
        <v>53</v>
      </c>
      <c r="N527">
        <v>3</v>
      </c>
      <c r="O527">
        <v>1</v>
      </c>
      <c r="P527">
        <v>27</v>
      </c>
      <c r="Q527" t="s">
        <v>26</v>
      </c>
      <c r="R527">
        <f>IF(subscriptions[[#This Row],[churned]]="Yes",1,0)</f>
        <v>1</v>
      </c>
      <c r="S527">
        <f ca="1">IF(subscriptions[[#This Row],[churn_flag]]=1, DATEDIF(subscriptions[[#This Row],[signup_date]],subscriptions[[#This Row],[churn_date]],"M"), DATEDIF(subscriptions[[#This Row],[signup_date]],TODAY(),"M"))</f>
        <v>1</v>
      </c>
      <c r="T527">
        <f ca="1">subscriptions[[#This Row],[monthly_revenue]]*subscriptions[[#This Row],[customer_lifetime]]</f>
        <v>161.94999999999999</v>
      </c>
      <c r="U527" t="str">
        <f>IF(subscriptions[[#This Row],[feature_usage_pct]]&lt;30,"High Risk",IF(subscriptions[[#This Row],[feature_usage_pct]]&lt;60,"Medium Risk","Low Risk"))</f>
        <v>High Risk</v>
      </c>
      <c r="V527">
        <f ca="1">subscriptions[[#This Row],[CLV]]/200</f>
        <v>0.80974999999999997</v>
      </c>
    </row>
    <row r="528" spans="1:22" x14ac:dyDescent="0.25">
      <c r="A528" t="s">
        <v>581</v>
      </c>
      <c r="B528" t="s">
        <v>36</v>
      </c>
      <c r="C528" t="s">
        <v>28</v>
      </c>
      <c r="D528" t="s">
        <v>49</v>
      </c>
      <c r="E528" s="2" t="s">
        <v>45</v>
      </c>
      <c r="F528">
        <v>50</v>
      </c>
      <c r="G528">
        <v>1412.4</v>
      </c>
      <c r="H528" t="s">
        <v>60</v>
      </c>
      <c r="I528" t="s">
        <v>38</v>
      </c>
      <c r="J528" s="1">
        <v>45943</v>
      </c>
      <c r="K528" t="s">
        <v>26</v>
      </c>
      <c r="N528">
        <v>12</v>
      </c>
      <c r="O528">
        <v>5</v>
      </c>
      <c r="P528">
        <v>91</v>
      </c>
      <c r="Q528" t="s">
        <v>26</v>
      </c>
      <c r="R528">
        <f>IF(subscriptions[[#This Row],[churned]]="Yes",1,0)</f>
        <v>0</v>
      </c>
      <c r="S528">
        <f ca="1">IF(subscriptions[[#This Row],[churn_flag]]=1, DATEDIF(subscriptions[[#This Row],[signup_date]],subscriptions[[#This Row],[churn_date]],"M"), DATEDIF(subscriptions[[#This Row],[signup_date]],TODAY(),"M"))</f>
        <v>7</v>
      </c>
      <c r="T528">
        <f ca="1">subscriptions[[#This Row],[monthly_revenue]]*subscriptions[[#This Row],[customer_lifetime]]</f>
        <v>9886.8000000000011</v>
      </c>
      <c r="U528" t="str">
        <f>IF(subscriptions[[#This Row],[feature_usage_pct]]&lt;30,"High Risk",IF(subscriptions[[#This Row],[feature_usage_pct]]&lt;60,"Medium Risk","Low Risk"))</f>
        <v>Low Risk</v>
      </c>
      <c r="V528">
        <f ca="1">subscriptions[[#This Row],[CLV]]/200</f>
        <v>49.434000000000005</v>
      </c>
    </row>
    <row r="529" spans="1:22" x14ac:dyDescent="0.25">
      <c r="A529" t="s">
        <v>582</v>
      </c>
      <c r="B529" t="s">
        <v>31</v>
      </c>
      <c r="C529" t="s">
        <v>19</v>
      </c>
      <c r="D529" t="s">
        <v>68</v>
      </c>
      <c r="E529" s="2" t="s">
        <v>664</v>
      </c>
      <c r="F529">
        <v>7</v>
      </c>
      <c r="G529">
        <v>55.1</v>
      </c>
      <c r="H529" t="s">
        <v>43</v>
      </c>
      <c r="I529" t="s">
        <v>55</v>
      </c>
      <c r="J529" s="1">
        <v>45276</v>
      </c>
      <c r="K529" t="s">
        <v>24</v>
      </c>
      <c r="L529" s="1">
        <v>45871</v>
      </c>
      <c r="M529" t="s">
        <v>56</v>
      </c>
      <c r="N529">
        <v>6</v>
      </c>
      <c r="O529">
        <v>3</v>
      </c>
      <c r="P529">
        <v>36</v>
      </c>
      <c r="Q529" t="s">
        <v>26</v>
      </c>
      <c r="R529">
        <f>IF(subscriptions[[#This Row],[churned]]="Yes",1,0)</f>
        <v>1</v>
      </c>
      <c r="S529">
        <f ca="1">IF(subscriptions[[#This Row],[churn_flag]]=1, DATEDIF(subscriptions[[#This Row],[signup_date]],subscriptions[[#This Row],[churn_date]],"M"), DATEDIF(subscriptions[[#This Row],[signup_date]],TODAY(),"M"))</f>
        <v>19</v>
      </c>
      <c r="T529">
        <f ca="1">subscriptions[[#This Row],[monthly_revenue]]*subscriptions[[#This Row],[customer_lifetime]]</f>
        <v>1046.9000000000001</v>
      </c>
      <c r="U529" t="str">
        <f>IF(subscriptions[[#This Row],[feature_usage_pct]]&lt;30,"High Risk",IF(subscriptions[[#This Row],[feature_usage_pct]]&lt;60,"Medium Risk","Low Risk"))</f>
        <v>Medium Risk</v>
      </c>
      <c r="V529">
        <f ca="1">subscriptions[[#This Row],[CLV]]/200</f>
        <v>5.2345000000000006</v>
      </c>
    </row>
    <row r="530" spans="1:22" x14ac:dyDescent="0.25">
      <c r="A530" t="s">
        <v>583</v>
      </c>
      <c r="B530" t="s">
        <v>36</v>
      </c>
      <c r="C530" t="s">
        <v>28</v>
      </c>
      <c r="D530" t="s">
        <v>79</v>
      </c>
      <c r="E530" s="2" t="s">
        <v>21</v>
      </c>
      <c r="F530">
        <v>49</v>
      </c>
      <c r="G530">
        <v>1387.03</v>
      </c>
      <c r="H530" t="s">
        <v>43</v>
      </c>
      <c r="I530" t="s">
        <v>69</v>
      </c>
      <c r="J530" s="1">
        <v>45714</v>
      </c>
      <c r="K530" t="s">
        <v>26</v>
      </c>
      <c r="N530">
        <v>12</v>
      </c>
      <c r="O530">
        <v>9</v>
      </c>
      <c r="P530">
        <v>82</v>
      </c>
      <c r="Q530" t="s">
        <v>26</v>
      </c>
      <c r="R530">
        <f>IF(subscriptions[[#This Row],[churned]]="Yes",1,0)</f>
        <v>0</v>
      </c>
      <c r="S530">
        <f ca="1">IF(subscriptions[[#This Row],[churn_flag]]=1, DATEDIF(subscriptions[[#This Row],[signup_date]],subscriptions[[#This Row],[churn_date]],"M"), DATEDIF(subscriptions[[#This Row],[signup_date]],TODAY(),"M"))</f>
        <v>14</v>
      </c>
      <c r="T530">
        <f ca="1">subscriptions[[#This Row],[monthly_revenue]]*subscriptions[[#This Row],[customer_lifetime]]</f>
        <v>19418.419999999998</v>
      </c>
      <c r="U530" t="str">
        <f>IF(subscriptions[[#This Row],[feature_usage_pct]]&lt;30,"High Risk",IF(subscriptions[[#This Row],[feature_usage_pct]]&lt;60,"Medium Risk","Low Risk"))</f>
        <v>Low Risk</v>
      </c>
      <c r="V530">
        <f ca="1">subscriptions[[#This Row],[CLV]]/200</f>
        <v>97.092099999999988</v>
      </c>
    </row>
    <row r="531" spans="1:22" x14ac:dyDescent="0.25">
      <c r="A531" t="s">
        <v>584</v>
      </c>
      <c r="B531" t="s">
        <v>71</v>
      </c>
      <c r="C531" t="s">
        <v>19</v>
      </c>
      <c r="D531" t="s">
        <v>68</v>
      </c>
      <c r="E531" s="2" t="s">
        <v>663</v>
      </c>
      <c r="F531">
        <v>31</v>
      </c>
      <c r="G531">
        <v>2744.5</v>
      </c>
      <c r="H531" t="s">
        <v>34</v>
      </c>
      <c r="I531" t="s">
        <v>38</v>
      </c>
      <c r="J531" s="1">
        <v>45044</v>
      </c>
      <c r="K531" t="s">
        <v>26</v>
      </c>
      <c r="N531">
        <v>11</v>
      </c>
      <c r="O531">
        <v>3</v>
      </c>
      <c r="P531">
        <v>15</v>
      </c>
      <c r="Q531" t="s">
        <v>26</v>
      </c>
      <c r="R531">
        <f>IF(subscriptions[[#This Row],[churned]]="Yes",1,0)</f>
        <v>0</v>
      </c>
      <c r="S531">
        <f ca="1">IF(subscriptions[[#This Row],[churn_flag]]=1, DATEDIF(subscriptions[[#This Row],[signup_date]],subscriptions[[#This Row],[churn_date]],"M"), DATEDIF(subscriptions[[#This Row],[signup_date]],TODAY(),"M"))</f>
        <v>36</v>
      </c>
      <c r="T531">
        <f ca="1">subscriptions[[#This Row],[monthly_revenue]]*subscriptions[[#This Row],[customer_lifetime]]</f>
        <v>98802</v>
      </c>
      <c r="U531" t="str">
        <f>IF(subscriptions[[#This Row],[feature_usage_pct]]&lt;30,"High Risk",IF(subscriptions[[#This Row],[feature_usage_pct]]&lt;60,"Medium Risk","Low Risk"))</f>
        <v>High Risk</v>
      </c>
      <c r="V531">
        <f ca="1">subscriptions[[#This Row],[CLV]]/200</f>
        <v>494.01</v>
      </c>
    </row>
    <row r="532" spans="1:22" x14ac:dyDescent="0.25">
      <c r="A532" t="s">
        <v>585</v>
      </c>
      <c r="B532" t="s">
        <v>18</v>
      </c>
      <c r="C532" t="s">
        <v>19</v>
      </c>
      <c r="D532" t="s">
        <v>37</v>
      </c>
      <c r="E532" s="2" t="s">
        <v>663</v>
      </c>
      <c r="F532">
        <v>20</v>
      </c>
      <c r="G532">
        <v>304.14999999999998</v>
      </c>
      <c r="H532" t="s">
        <v>22</v>
      </c>
      <c r="I532" t="s">
        <v>23</v>
      </c>
      <c r="J532" s="1">
        <v>45150</v>
      </c>
      <c r="K532" t="s">
        <v>26</v>
      </c>
      <c r="N532">
        <v>10</v>
      </c>
      <c r="O532">
        <v>1</v>
      </c>
      <c r="P532">
        <v>76</v>
      </c>
      <c r="Q532" t="s">
        <v>26</v>
      </c>
      <c r="R532">
        <f>IF(subscriptions[[#This Row],[churned]]="Yes",1,0)</f>
        <v>0</v>
      </c>
      <c r="S532">
        <f ca="1">IF(subscriptions[[#This Row],[churn_flag]]=1, DATEDIF(subscriptions[[#This Row],[signup_date]],subscriptions[[#This Row],[churn_date]],"M"), DATEDIF(subscriptions[[#This Row],[signup_date]],TODAY(),"M"))</f>
        <v>33</v>
      </c>
      <c r="T532">
        <f ca="1">subscriptions[[#This Row],[monthly_revenue]]*subscriptions[[#This Row],[customer_lifetime]]</f>
        <v>10036.949999999999</v>
      </c>
      <c r="U532" t="str">
        <f>IF(subscriptions[[#This Row],[feature_usage_pct]]&lt;30,"High Risk",IF(subscriptions[[#This Row],[feature_usage_pct]]&lt;60,"Medium Risk","Low Risk"))</f>
        <v>Low Risk</v>
      </c>
      <c r="V532">
        <f ca="1">subscriptions[[#This Row],[CLV]]/200</f>
        <v>50.184749999999994</v>
      </c>
    </row>
    <row r="533" spans="1:22" x14ac:dyDescent="0.25">
      <c r="A533" t="s">
        <v>586</v>
      </c>
      <c r="B533" t="s">
        <v>31</v>
      </c>
      <c r="C533" t="s">
        <v>28</v>
      </c>
      <c r="D533" t="s">
        <v>68</v>
      </c>
      <c r="E533" s="2" t="s">
        <v>21</v>
      </c>
      <c r="F533">
        <v>67</v>
      </c>
      <c r="G533">
        <v>268.69</v>
      </c>
      <c r="H533" t="s">
        <v>34</v>
      </c>
      <c r="I533" t="s">
        <v>55</v>
      </c>
      <c r="J533" s="1">
        <v>45523</v>
      </c>
      <c r="K533" t="s">
        <v>26</v>
      </c>
      <c r="N533">
        <v>3</v>
      </c>
      <c r="O533">
        <v>6</v>
      </c>
      <c r="P533">
        <v>55</v>
      </c>
      <c r="Q533" t="s">
        <v>26</v>
      </c>
      <c r="R533">
        <f>IF(subscriptions[[#This Row],[churned]]="Yes",1,0)</f>
        <v>0</v>
      </c>
      <c r="S533">
        <f ca="1">IF(subscriptions[[#This Row],[churn_flag]]=1, DATEDIF(subscriptions[[#This Row],[signup_date]],subscriptions[[#This Row],[churn_date]],"M"), DATEDIF(subscriptions[[#This Row],[signup_date]],TODAY(),"M"))</f>
        <v>20</v>
      </c>
      <c r="T533">
        <f ca="1">subscriptions[[#This Row],[monthly_revenue]]*subscriptions[[#This Row],[customer_lifetime]]</f>
        <v>5373.8</v>
      </c>
      <c r="U533" t="str">
        <f>IF(subscriptions[[#This Row],[feature_usage_pct]]&lt;30,"High Risk",IF(subscriptions[[#This Row],[feature_usage_pct]]&lt;60,"Medium Risk","Low Risk"))</f>
        <v>Medium Risk</v>
      </c>
      <c r="V533">
        <f ca="1">subscriptions[[#This Row],[CLV]]/200</f>
        <v>26.869</v>
      </c>
    </row>
    <row r="534" spans="1:22" x14ac:dyDescent="0.25">
      <c r="A534" t="s">
        <v>587</v>
      </c>
      <c r="B534" t="s">
        <v>71</v>
      </c>
      <c r="C534" t="s">
        <v>19</v>
      </c>
      <c r="D534" t="s">
        <v>52</v>
      </c>
      <c r="E534" s="2" t="s">
        <v>45</v>
      </c>
      <c r="F534">
        <v>85</v>
      </c>
      <c r="G534">
        <v>6786.4</v>
      </c>
      <c r="H534" t="s">
        <v>29</v>
      </c>
      <c r="I534" t="s">
        <v>38</v>
      </c>
      <c r="J534" s="1">
        <v>45490</v>
      </c>
      <c r="K534" t="s">
        <v>26</v>
      </c>
      <c r="N534">
        <v>4</v>
      </c>
      <c r="O534">
        <v>7</v>
      </c>
      <c r="P534">
        <v>54</v>
      </c>
      <c r="Q534" t="s">
        <v>24</v>
      </c>
      <c r="R534">
        <f>IF(subscriptions[[#This Row],[churned]]="Yes",1,0)</f>
        <v>0</v>
      </c>
      <c r="S534">
        <f ca="1">IF(subscriptions[[#This Row],[churn_flag]]=1, DATEDIF(subscriptions[[#This Row],[signup_date]],subscriptions[[#This Row],[churn_date]],"M"), DATEDIF(subscriptions[[#This Row],[signup_date]],TODAY(),"M"))</f>
        <v>21</v>
      </c>
      <c r="T534">
        <f ca="1">subscriptions[[#This Row],[monthly_revenue]]*subscriptions[[#This Row],[customer_lifetime]]</f>
        <v>142514.4</v>
      </c>
      <c r="U534" t="str">
        <f>IF(subscriptions[[#This Row],[feature_usage_pct]]&lt;30,"High Risk",IF(subscriptions[[#This Row],[feature_usage_pct]]&lt;60,"Medium Risk","Low Risk"))</f>
        <v>Medium Risk</v>
      </c>
      <c r="V534">
        <f ca="1">subscriptions[[#This Row],[CLV]]/200</f>
        <v>712.572</v>
      </c>
    </row>
    <row r="535" spans="1:22" x14ac:dyDescent="0.25">
      <c r="A535" t="s">
        <v>588</v>
      </c>
      <c r="B535" t="s">
        <v>31</v>
      </c>
      <c r="C535" t="s">
        <v>19</v>
      </c>
      <c r="D535" t="s">
        <v>37</v>
      </c>
      <c r="E535" s="2" t="s">
        <v>664</v>
      </c>
      <c r="F535">
        <v>2</v>
      </c>
      <c r="G535">
        <v>33.35</v>
      </c>
      <c r="H535" t="s">
        <v>22</v>
      </c>
      <c r="I535" t="s">
        <v>55</v>
      </c>
      <c r="J535" s="1">
        <v>45094</v>
      </c>
      <c r="K535" t="s">
        <v>24</v>
      </c>
      <c r="L535" s="1">
        <v>45134</v>
      </c>
      <c r="M535" t="s">
        <v>56</v>
      </c>
      <c r="N535">
        <v>13</v>
      </c>
      <c r="O535">
        <v>2</v>
      </c>
      <c r="P535">
        <v>17</v>
      </c>
      <c r="Q535" t="s">
        <v>26</v>
      </c>
      <c r="R535">
        <f>IF(subscriptions[[#This Row],[churned]]="Yes",1,0)</f>
        <v>1</v>
      </c>
      <c r="S535">
        <f ca="1">IF(subscriptions[[#This Row],[churn_flag]]=1, DATEDIF(subscriptions[[#This Row],[signup_date]],subscriptions[[#This Row],[churn_date]],"M"), DATEDIF(subscriptions[[#This Row],[signup_date]],TODAY(),"M"))</f>
        <v>1</v>
      </c>
      <c r="T535">
        <f ca="1">subscriptions[[#This Row],[monthly_revenue]]*subscriptions[[#This Row],[customer_lifetime]]</f>
        <v>33.35</v>
      </c>
      <c r="U535" t="str">
        <f>IF(subscriptions[[#This Row],[feature_usage_pct]]&lt;30,"High Risk",IF(subscriptions[[#This Row],[feature_usage_pct]]&lt;60,"Medium Risk","Low Risk"))</f>
        <v>High Risk</v>
      </c>
      <c r="V535">
        <f ca="1">subscriptions[[#This Row],[CLV]]/200</f>
        <v>0.16675000000000001</v>
      </c>
    </row>
    <row r="536" spans="1:22" x14ac:dyDescent="0.25">
      <c r="A536" t="s">
        <v>589</v>
      </c>
      <c r="B536" t="s">
        <v>71</v>
      </c>
      <c r="C536" t="s">
        <v>28</v>
      </c>
      <c r="D536" t="s">
        <v>32</v>
      </c>
      <c r="E536" s="2" t="s">
        <v>45</v>
      </c>
      <c r="F536">
        <v>52</v>
      </c>
      <c r="G536">
        <v>3668.9</v>
      </c>
      <c r="H536" t="s">
        <v>43</v>
      </c>
      <c r="I536" t="s">
        <v>38</v>
      </c>
      <c r="J536" s="1">
        <v>45498</v>
      </c>
      <c r="K536" t="s">
        <v>26</v>
      </c>
      <c r="N536">
        <v>9</v>
      </c>
      <c r="O536">
        <v>7</v>
      </c>
      <c r="P536">
        <v>93</v>
      </c>
      <c r="Q536" t="s">
        <v>26</v>
      </c>
      <c r="R536">
        <f>IF(subscriptions[[#This Row],[churned]]="Yes",1,0)</f>
        <v>0</v>
      </c>
      <c r="S536">
        <f ca="1">IF(subscriptions[[#This Row],[churn_flag]]=1, DATEDIF(subscriptions[[#This Row],[signup_date]],subscriptions[[#This Row],[churn_date]],"M"), DATEDIF(subscriptions[[#This Row],[signup_date]],TODAY(),"M"))</f>
        <v>21</v>
      </c>
      <c r="T536">
        <f ca="1">subscriptions[[#This Row],[monthly_revenue]]*subscriptions[[#This Row],[customer_lifetime]]</f>
        <v>77046.900000000009</v>
      </c>
      <c r="U536" t="str">
        <f>IF(subscriptions[[#This Row],[feature_usage_pct]]&lt;30,"High Risk",IF(subscriptions[[#This Row],[feature_usage_pct]]&lt;60,"Medium Risk","Low Risk"))</f>
        <v>Low Risk</v>
      </c>
      <c r="V536">
        <f ca="1">subscriptions[[#This Row],[CLV]]/200</f>
        <v>385.23450000000003</v>
      </c>
    </row>
    <row r="537" spans="1:22" x14ac:dyDescent="0.25">
      <c r="A537" t="s">
        <v>590</v>
      </c>
      <c r="B537" t="s">
        <v>31</v>
      </c>
      <c r="C537" t="s">
        <v>28</v>
      </c>
      <c r="D537" t="s">
        <v>37</v>
      </c>
      <c r="E537" s="2" t="s">
        <v>21</v>
      </c>
      <c r="F537">
        <v>58</v>
      </c>
      <c r="G537">
        <v>235.41</v>
      </c>
      <c r="H537" t="s">
        <v>98</v>
      </c>
      <c r="I537" t="s">
        <v>55</v>
      </c>
      <c r="J537" s="1">
        <v>44870</v>
      </c>
      <c r="K537" t="s">
        <v>24</v>
      </c>
      <c r="L537" s="1">
        <v>44871</v>
      </c>
      <c r="M537" t="s">
        <v>56</v>
      </c>
      <c r="N537">
        <v>4</v>
      </c>
      <c r="O537">
        <v>5</v>
      </c>
      <c r="P537">
        <v>20</v>
      </c>
      <c r="Q537" t="s">
        <v>26</v>
      </c>
      <c r="R537">
        <f>IF(subscriptions[[#This Row],[churned]]="Yes",1,0)</f>
        <v>1</v>
      </c>
      <c r="S537">
        <f ca="1">IF(subscriptions[[#This Row],[churn_flag]]=1, DATEDIF(subscriptions[[#This Row],[signup_date]],subscriptions[[#This Row],[churn_date]],"M"), DATEDIF(subscriptions[[#This Row],[signup_date]],TODAY(),"M"))</f>
        <v>0</v>
      </c>
      <c r="T537">
        <f ca="1">subscriptions[[#This Row],[monthly_revenue]]*subscriptions[[#This Row],[customer_lifetime]]</f>
        <v>0</v>
      </c>
      <c r="U537" t="str">
        <f>IF(subscriptions[[#This Row],[feature_usage_pct]]&lt;30,"High Risk",IF(subscriptions[[#This Row],[feature_usage_pct]]&lt;60,"Medium Risk","Low Risk"))</f>
        <v>High Risk</v>
      </c>
      <c r="V537">
        <f ca="1">subscriptions[[#This Row],[CLV]]/200</f>
        <v>0</v>
      </c>
    </row>
    <row r="538" spans="1:22" x14ac:dyDescent="0.25">
      <c r="A538" t="s">
        <v>591</v>
      </c>
      <c r="B538" t="s">
        <v>31</v>
      </c>
      <c r="C538" t="s">
        <v>19</v>
      </c>
      <c r="D538" t="s">
        <v>68</v>
      </c>
      <c r="E538" s="2" t="s">
        <v>663</v>
      </c>
      <c r="F538">
        <v>26</v>
      </c>
      <c r="G538">
        <v>137.75</v>
      </c>
      <c r="H538" t="s">
        <v>60</v>
      </c>
      <c r="I538" t="s">
        <v>23</v>
      </c>
      <c r="J538" s="1">
        <v>45091</v>
      </c>
      <c r="K538" t="s">
        <v>24</v>
      </c>
      <c r="L538" s="1">
        <v>45091</v>
      </c>
      <c r="M538" t="s">
        <v>25</v>
      </c>
      <c r="N538">
        <v>0</v>
      </c>
      <c r="O538">
        <v>3</v>
      </c>
      <c r="P538">
        <v>23</v>
      </c>
      <c r="Q538" t="s">
        <v>26</v>
      </c>
      <c r="R538">
        <f>IF(subscriptions[[#This Row],[churned]]="Yes",1,0)</f>
        <v>1</v>
      </c>
      <c r="S538">
        <f ca="1">IF(subscriptions[[#This Row],[churn_flag]]=1, DATEDIF(subscriptions[[#This Row],[signup_date]],subscriptions[[#This Row],[churn_date]],"M"), DATEDIF(subscriptions[[#This Row],[signup_date]],TODAY(),"M"))</f>
        <v>0</v>
      </c>
      <c r="T538">
        <f ca="1">subscriptions[[#This Row],[monthly_revenue]]*subscriptions[[#This Row],[customer_lifetime]]</f>
        <v>0</v>
      </c>
      <c r="U538" t="str">
        <f>IF(subscriptions[[#This Row],[feature_usage_pct]]&lt;30,"High Risk",IF(subscriptions[[#This Row],[feature_usage_pct]]&lt;60,"Medium Risk","Low Risk"))</f>
        <v>High Risk</v>
      </c>
      <c r="V538">
        <f ca="1">subscriptions[[#This Row],[CLV]]/200</f>
        <v>0</v>
      </c>
    </row>
    <row r="539" spans="1:22" x14ac:dyDescent="0.25">
      <c r="A539" t="s">
        <v>592</v>
      </c>
      <c r="B539" t="s">
        <v>18</v>
      </c>
      <c r="C539" t="s">
        <v>19</v>
      </c>
      <c r="D539" t="s">
        <v>37</v>
      </c>
      <c r="E539" s="2" t="s">
        <v>664</v>
      </c>
      <c r="F539">
        <v>8</v>
      </c>
      <c r="G539">
        <v>161.94999999999999</v>
      </c>
      <c r="H539" t="s">
        <v>60</v>
      </c>
      <c r="I539" t="s">
        <v>38</v>
      </c>
      <c r="J539" s="1">
        <v>45781</v>
      </c>
      <c r="K539" t="s">
        <v>24</v>
      </c>
      <c r="L539" s="1">
        <v>45877</v>
      </c>
      <c r="M539" t="s">
        <v>25</v>
      </c>
      <c r="N539">
        <v>5</v>
      </c>
      <c r="O539">
        <v>2</v>
      </c>
      <c r="P539">
        <v>49</v>
      </c>
      <c r="Q539" t="s">
        <v>26</v>
      </c>
      <c r="R539">
        <f>IF(subscriptions[[#This Row],[churned]]="Yes",1,0)</f>
        <v>1</v>
      </c>
      <c r="S539">
        <f ca="1">IF(subscriptions[[#This Row],[churn_flag]]=1, DATEDIF(subscriptions[[#This Row],[signup_date]],subscriptions[[#This Row],[churn_date]],"M"), DATEDIF(subscriptions[[#This Row],[signup_date]],TODAY(),"M"))</f>
        <v>3</v>
      </c>
      <c r="T539">
        <f ca="1">subscriptions[[#This Row],[monthly_revenue]]*subscriptions[[#This Row],[customer_lifetime]]</f>
        <v>485.84999999999997</v>
      </c>
      <c r="U539" t="str">
        <f>IF(subscriptions[[#This Row],[feature_usage_pct]]&lt;30,"High Risk",IF(subscriptions[[#This Row],[feature_usage_pct]]&lt;60,"Medium Risk","Low Risk"))</f>
        <v>Medium Risk</v>
      </c>
      <c r="V539">
        <f ca="1">subscriptions[[#This Row],[CLV]]/200</f>
        <v>2.4292499999999997</v>
      </c>
    </row>
    <row r="540" spans="1:22" x14ac:dyDescent="0.25">
      <c r="A540" t="s">
        <v>593</v>
      </c>
      <c r="B540" t="s">
        <v>36</v>
      </c>
      <c r="C540" t="s">
        <v>28</v>
      </c>
      <c r="D540" t="s">
        <v>52</v>
      </c>
      <c r="E540" s="2" t="s">
        <v>21</v>
      </c>
      <c r="F540">
        <v>20</v>
      </c>
      <c r="G540">
        <v>651.23</v>
      </c>
      <c r="H540" t="s">
        <v>98</v>
      </c>
      <c r="I540" t="s">
        <v>23</v>
      </c>
      <c r="J540" s="1">
        <v>45437</v>
      </c>
      <c r="K540" t="s">
        <v>26</v>
      </c>
      <c r="N540">
        <v>8</v>
      </c>
      <c r="O540">
        <v>9</v>
      </c>
      <c r="P540">
        <v>90</v>
      </c>
      <c r="Q540" t="s">
        <v>26</v>
      </c>
      <c r="R540">
        <f>IF(subscriptions[[#This Row],[churned]]="Yes",1,0)</f>
        <v>0</v>
      </c>
      <c r="S540">
        <f ca="1">IF(subscriptions[[#This Row],[churn_flag]]=1, DATEDIF(subscriptions[[#This Row],[signup_date]],subscriptions[[#This Row],[churn_date]],"M"), DATEDIF(subscriptions[[#This Row],[signup_date]],TODAY(),"M"))</f>
        <v>23</v>
      </c>
      <c r="T540">
        <f ca="1">subscriptions[[#This Row],[monthly_revenue]]*subscriptions[[#This Row],[customer_lifetime]]</f>
        <v>14978.29</v>
      </c>
      <c r="U540" t="str">
        <f>IF(subscriptions[[#This Row],[feature_usage_pct]]&lt;30,"High Risk",IF(subscriptions[[#This Row],[feature_usage_pct]]&lt;60,"Medium Risk","Low Risk"))</f>
        <v>Low Risk</v>
      </c>
      <c r="V540">
        <f ca="1">subscriptions[[#This Row],[CLV]]/200</f>
        <v>74.891450000000006</v>
      </c>
    </row>
    <row r="541" spans="1:22" x14ac:dyDescent="0.25">
      <c r="A541" t="s">
        <v>594</v>
      </c>
      <c r="B541" t="s">
        <v>31</v>
      </c>
      <c r="C541" t="s">
        <v>19</v>
      </c>
      <c r="D541" t="s">
        <v>79</v>
      </c>
      <c r="E541" s="2" t="s">
        <v>21</v>
      </c>
      <c r="F541">
        <v>68</v>
      </c>
      <c r="G541">
        <v>320.45</v>
      </c>
      <c r="H541" t="s">
        <v>60</v>
      </c>
      <c r="I541" t="s">
        <v>23</v>
      </c>
      <c r="J541" s="1">
        <v>45539</v>
      </c>
      <c r="K541" t="s">
        <v>24</v>
      </c>
      <c r="L541" s="1">
        <v>45787</v>
      </c>
      <c r="M541" t="s">
        <v>63</v>
      </c>
      <c r="N541">
        <v>9</v>
      </c>
      <c r="O541">
        <v>4</v>
      </c>
      <c r="P541">
        <v>50</v>
      </c>
      <c r="Q541" t="s">
        <v>26</v>
      </c>
      <c r="R541">
        <f>IF(subscriptions[[#This Row],[churned]]="Yes",1,0)</f>
        <v>1</v>
      </c>
      <c r="S541">
        <f ca="1">IF(subscriptions[[#This Row],[churn_flag]]=1, DATEDIF(subscriptions[[#This Row],[signup_date]],subscriptions[[#This Row],[churn_date]],"M"), DATEDIF(subscriptions[[#This Row],[signup_date]],TODAY(),"M"))</f>
        <v>8</v>
      </c>
      <c r="T541">
        <f ca="1">subscriptions[[#This Row],[monthly_revenue]]*subscriptions[[#This Row],[customer_lifetime]]</f>
        <v>2563.6</v>
      </c>
      <c r="U541" t="str">
        <f>IF(subscriptions[[#This Row],[feature_usage_pct]]&lt;30,"High Risk",IF(subscriptions[[#This Row],[feature_usage_pct]]&lt;60,"Medium Risk","Low Risk"))</f>
        <v>Medium Risk</v>
      </c>
      <c r="V541">
        <f ca="1">subscriptions[[#This Row],[CLV]]/200</f>
        <v>12.818</v>
      </c>
    </row>
    <row r="542" spans="1:22" x14ac:dyDescent="0.25">
      <c r="A542" t="s">
        <v>595</v>
      </c>
      <c r="B542" t="s">
        <v>18</v>
      </c>
      <c r="C542" t="s">
        <v>19</v>
      </c>
      <c r="D542" t="s">
        <v>40</v>
      </c>
      <c r="E542" s="2" t="s">
        <v>45</v>
      </c>
      <c r="F542">
        <v>30</v>
      </c>
      <c r="G542">
        <v>422.65</v>
      </c>
      <c r="H542" t="s">
        <v>43</v>
      </c>
      <c r="I542" t="s">
        <v>23</v>
      </c>
      <c r="J542" s="1">
        <v>45166</v>
      </c>
      <c r="K542" t="s">
        <v>24</v>
      </c>
      <c r="L542" s="1">
        <v>45606</v>
      </c>
      <c r="M542" t="s">
        <v>53</v>
      </c>
      <c r="N542">
        <v>8</v>
      </c>
      <c r="O542">
        <v>1</v>
      </c>
      <c r="P542">
        <v>50</v>
      </c>
      <c r="Q542" t="s">
        <v>26</v>
      </c>
      <c r="R542">
        <f>IF(subscriptions[[#This Row],[churned]]="Yes",1,0)</f>
        <v>1</v>
      </c>
      <c r="S542">
        <f ca="1">IF(subscriptions[[#This Row],[churn_flag]]=1, DATEDIF(subscriptions[[#This Row],[signup_date]],subscriptions[[#This Row],[churn_date]],"M"), DATEDIF(subscriptions[[#This Row],[signup_date]],TODAY(),"M"))</f>
        <v>14</v>
      </c>
      <c r="T542">
        <f ca="1">subscriptions[[#This Row],[monthly_revenue]]*subscriptions[[#This Row],[customer_lifetime]]</f>
        <v>5917.0999999999995</v>
      </c>
      <c r="U542" t="str">
        <f>IF(subscriptions[[#This Row],[feature_usage_pct]]&lt;30,"High Risk",IF(subscriptions[[#This Row],[feature_usage_pct]]&lt;60,"Medium Risk","Low Risk"))</f>
        <v>Medium Risk</v>
      </c>
      <c r="V542">
        <f ca="1">subscriptions[[#This Row],[CLV]]/200</f>
        <v>29.585499999999996</v>
      </c>
    </row>
    <row r="543" spans="1:22" x14ac:dyDescent="0.25">
      <c r="A543" t="s">
        <v>596</v>
      </c>
      <c r="B543" t="s">
        <v>31</v>
      </c>
      <c r="C543" t="s">
        <v>19</v>
      </c>
      <c r="D543" t="s">
        <v>62</v>
      </c>
      <c r="E543" s="2" t="s">
        <v>663</v>
      </c>
      <c r="F543">
        <v>28</v>
      </c>
      <c r="G543">
        <v>146.44999999999999</v>
      </c>
      <c r="H543" t="s">
        <v>29</v>
      </c>
      <c r="I543" t="s">
        <v>23</v>
      </c>
      <c r="J543" s="1">
        <v>45954</v>
      </c>
      <c r="K543" t="s">
        <v>26</v>
      </c>
      <c r="N543">
        <v>7</v>
      </c>
      <c r="O543">
        <v>1</v>
      </c>
      <c r="P543">
        <v>91</v>
      </c>
      <c r="Q543" t="s">
        <v>26</v>
      </c>
      <c r="R543">
        <f>IF(subscriptions[[#This Row],[churned]]="Yes",1,0)</f>
        <v>0</v>
      </c>
      <c r="S543">
        <f ca="1">IF(subscriptions[[#This Row],[churn_flag]]=1, DATEDIF(subscriptions[[#This Row],[signup_date]],subscriptions[[#This Row],[churn_date]],"M"), DATEDIF(subscriptions[[#This Row],[signup_date]],TODAY(),"M"))</f>
        <v>6</v>
      </c>
      <c r="T543">
        <f ca="1">subscriptions[[#This Row],[monthly_revenue]]*subscriptions[[#This Row],[customer_lifetime]]</f>
        <v>878.69999999999993</v>
      </c>
      <c r="U543" t="str">
        <f>IF(subscriptions[[#This Row],[feature_usage_pct]]&lt;30,"High Risk",IF(subscriptions[[#This Row],[feature_usage_pct]]&lt;60,"Medium Risk","Low Risk"))</f>
        <v>Low Risk</v>
      </c>
      <c r="V543">
        <f ca="1">subscriptions[[#This Row],[CLV]]/200</f>
        <v>4.3934999999999995</v>
      </c>
    </row>
    <row r="544" spans="1:22" x14ac:dyDescent="0.25">
      <c r="A544" t="s">
        <v>597</v>
      </c>
      <c r="B544" t="s">
        <v>71</v>
      </c>
      <c r="C544" t="s">
        <v>28</v>
      </c>
      <c r="D544" t="s">
        <v>37</v>
      </c>
      <c r="E544" s="2" t="s">
        <v>664</v>
      </c>
      <c r="F544">
        <v>1</v>
      </c>
      <c r="G544">
        <v>424.15</v>
      </c>
      <c r="H544" t="s">
        <v>34</v>
      </c>
      <c r="I544" t="s">
        <v>23</v>
      </c>
      <c r="J544" s="1">
        <v>44870</v>
      </c>
      <c r="K544" t="s">
        <v>24</v>
      </c>
      <c r="L544" s="1">
        <v>45787</v>
      </c>
      <c r="M544" t="s">
        <v>63</v>
      </c>
      <c r="N544">
        <v>9</v>
      </c>
      <c r="O544">
        <v>3</v>
      </c>
      <c r="P544">
        <v>24</v>
      </c>
      <c r="Q544" t="s">
        <v>26</v>
      </c>
      <c r="R544">
        <f>IF(subscriptions[[#This Row],[churned]]="Yes",1,0)</f>
        <v>1</v>
      </c>
      <c r="S544">
        <f ca="1">IF(subscriptions[[#This Row],[churn_flag]]=1, DATEDIF(subscriptions[[#This Row],[signup_date]],subscriptions[[#This Row],[churn_date]],"M"), DATEDIF(subscriptions[[#This Row],[signup_date]],TODAY(),"M"))</f>
        <v>30</v>
      </c>
      <c r="T544">
        <f ca="1">subscriptions[[#This Row],[monthly_revenue]]*subscriptions[[#This Row],[customer_lifetime]]</f>
        <v>12724.5</v>
      </c>
      <c r="U544" t="str">
        <f>IF(subscriptions[[#This Row],[feature_usage_pct]]&lt;30,"High Risk",IF(subscriptions[[#This Row],[feature_usage_pct]]&lt;60,"Medium Risk","Low Risk"))</f>
        <v>High Risk</v>
      </c>
      <c r="V544">
        <f ca="1">subscriptions[[#This Row],[CLV]]/200</f>
        <v>63.622500000000002</v>
      </c>
    </row>
    <row r="545" spans="1:22" x14ac:dyDescent="0.25">
      <c r="A545" t="s">
        <v>598</v>
      </c>
      <c r="B545" t="s">
        <v>36</v>
      </c>
      <c r="C545" t="s">
        <v>28</v>
      </c>
      <c r="D545" t="s">
        <v>37</v>
      </c>
      <c r="E545" s="2" t="s">
        <v>663</v>
      </c>
      <c r="F545">
        <v>16</v>
      </c>
      <c r="G545">
        <v>549.74</v>
      </c>
      <c r="H545" t="s">
        <v>43</v>
      </c>
      <c r="I545" t="s">
        <v>38</v>
      </c>
      <c r="J545" s="1">
        <v>45290</v>
      </c>
      <c r="K545" t="s">
        <v>26</v>
      </c>
      <c r="N545">
        <v>4</v>
      </c>
      <c r="O545">
        <v>3</v>
      </c>
      <c r="P545">
        <v>25</v>
      </c>
      <c r="Q545" t="s">
        <v>26</v>
      </c>
      <c r="R545">
        <f>IF(subscriptions[[#This Row],[churned]]="Yes",1,0)</f>
        <v>0</v>
      </c>
      <c r="S545">
        <f ca="1">IF(subscriptions[[#This Row],[churn_flag]]=1, DATEDIF(subscriptions[[#This Row],[signup_date]],subscriptions[[#This Row],[churn_date]],"M"), DATEDIF(subscriptions[[#This Row],[signup_date]],TODAY(),"M"))</f>
        <v>28</v>
      </c>
      <c r="T545">
        <f ca="1">subscriptions[[#This Row],[monthly_revenue]]*subscriptions[[#This Row],[customer_lifetime]]</f>
        <v>15392.720000000001</v>
      </c>
      <c r="U545" t="str">
        <f>IF(subscriptions[[#This Row],[feature_usage_pct]]&lt;30,"High Risk",IF(subscriptions[[#This Row],[feature_usage_pct]]&lt;60,"Medium Risk","Low Risk"))</f>
        <v>High Risk</v>
      </c>
      <c r="V545">
        <f ca="1">subscriptions[[#This Row],[CLV]]/200</f>
        <v>76.9636</v>
      </c>
    </row>
    <row r="546" spans="1:22" x14ac:dyDescent="0.25">
      <c r="A546" t="s">
        <v>599</v>
      </c>
      <c r="B546" t="s">
        <v>31</v>
      </c>
      <c r="C546" t="s">
        <v>19</v>
      </c>
      <c r="D546" t="s">
        <v>42</v>
      </c>
      <c r="E546" s="2" t="s">
        <v>664</v>
      </c>
      <c r="F546">
        <v>1</v>
      </c>
      <c r="G546">
        <v>29</v>
      </c>
      <c r="H546" t="s">
        <v>43</v>
      </c>
      <c r="I546" t="s">
        <v>38</v>
      </c>
      <c r="J546" s="1">
        <v>44685</v>
      </c>
      <c r="K546" t="s">
        <v>24</v>
      </c>
      <c r="L546" s="1">
        <v>44909</v>
      </c>
      <c r="M546" t="s">
        <v>25</v>
      </c>
      <c r="N546">
        <v>14</v>
      </c>
      <c r="O546">
        <v>2</v>
      </c>
      <c r="P546">
        <v>10</v>
      </c>
      <c r="Q546" t="s">
        <v>26</v>
      </c>
      <c r="R546">
        <f>IF(subscriptions[[#This Row],[churned]]="Yes",1,0)</f>
        <v>1</v>
      </c>
      <c r="S546">
        <f ca="1">IF(subscriptions[[#This Row],[churn_flag]]=1, DATEDIF(subscriptions[[#This Row],[signup_date]],subscriptions[[#This Row],[churn_date]],"M"), DATEDIF(subscriptions[[#This Row],[signup_date]],TODAY(),"M"))</f>
        <v>7</v>
      </c>
      <c r="T546">
        <f ca="1">subscriptions[[#This Row],[monthly_revenue]]*subscriptions[[#This Row],[customer_lifetime]]</f>
        <v>203</v>
      </c>
      <c r="U546" t="str">
        <f>IF(subscriptions[[#This Row],[feature_usage_pct]]&lt;30,"High Risk",IF(subscriptions[[#This Row],[feature_usage_pct]]&lt;60,"Medium Risk","Low Risk"))</f>
        <v>High Risk</v>
      </c>
      <c r="V546">
        <f ca="1">subscriptions[[#This Row],[CLV]]/200</f>
        <v>1.0149999999999999</v>
      </c>
    </row>
    <row r="547" spans="1:22" x14ac:dyDescent="0.25">
      <c r="A547" t="s">
        <v>600</v>
      </c>
      <c r="B547" t="s">
        <v>18</v>
      </c>
      <c r="C547" t="s">
        <v>19</v>
      </c>
      <c r="D547" t="s">
        <v>42</v>
      </c>
      <c r="E547" s="2" t="s">
        <v>663</v>
      </c>
      <c r="F547">
        <v>11</v>
      </c>
      <c r="G547">
        <v>197.5</v>
      </c>
      <c r="H547" t="s">
        <v>29</v>
      </c>
      <c r="I547" t="s">
        <v>55</v>
      </c>
      <c r="J547" s="1">
        <v>45181</v>
      </c>
      <c r="K547" t="s">
        <v>24</v>
      </c>
      <c r="L547" s="1">
        <v>45407</v>
      </c>
      <c r="M547" t="s">
        <v>56</v>
      </c>
      <c r="N547">
        <v>12</v>
      </c>
      <c r="O547">
        <v>2</v>
      </c>
      <c r="P547">
        <v>10</v>
      </c>
      <c r="Q547" t="s">
        <v>26</v>
      </c>
      <c r="R547">
        <f>IF(subscriptions[[#This Row],[churned]]="Yes",1,0)</f>
        <v>1</v>
      </c>
      <c r="S547">
        <f ca="1">IF(subscriptions[[#This Row],[churn_flag]]=1, DATEDIF(subscriptions[[#This Row],[signup_date]],subscriptions[[#This Row],[churn_date]],"M"), DATEDIF(subscriptions[[#This Row],[signup_date]],TODAY(),"M"))</f>
        <v>7</v>
      </c>
      <c r="T547">
        <f ca="1">subscriptions[[#This Row],[monthly_revenue]]*subscriptions[[#This Row],[customer_lifetime]]</f>
        <v>1382.5</v>
      </c>
      <c r="U547" t="str">
        <f>IF(subscriptions[[#This Row],[feature_usage_pct]]&lt;30,"High Risk",IF(subscriptions[[#This Row],[feature_usage_pct]]&lt;60,"Medium Risk","Low Risk"))</f>
        <v>High Risk</v>
      </c>
      <c r="V547">
        <f ca="1">subscriptions[[#This Row],[CLV]]/200</f>
        <v>6.9124999999999996</v>
      </c>
    </row>
    <row r="548" spans="1:22" x14ac:dyDescent="0.25">
      <c r="A548" t="s">
        <v>601</v>
      </c>
      <c r="B548" t="s">
        <v>71</v>
      </c>
      <c r="C548" t="s">
        <v>19</v>
      </c>
      <c r="D548" t="s">
        <v>20</v>
      </c>
      <c r="E548" s="2" t="s">
        <v>664</v>
      </c>
      <c r="F548">
        <v>2</v>
      </c>
      <c r="G548">
        <v>573.85</v>
      </c>
      <c r="H548" t="s">
        <v>22</v>
      </c>
      <c r="I548" t="s">
        <v>23</v>
      </c>
      <c r="J548" s="1">
        <v>44936</v>
      </c>
      <c r="K548" t="s">
        <v>24</v>
      </c>
      <c r="L548" s="1">
        <v>45706</v>
      </c>
      <c r="M548" t="s">
        <v>46</v>
      </c>
      <c r="N548">
        <v>10</v>
      </c>
      <c r="O548">
        <v>3</v>
      </c>
      <c r="P548">
        <v>22</v>
      </c>
      <c r="Q548" t="s">
        <v>26</v>
      </c>
      <c r="R548">
        <f>IF(subscriptions[[#This Row],[churned]]="Yes",1,0)</f>
        <v>1</v>
      </c>
      <c r="S548">
        <f ca="1">IF(subscriptions[[#This Row],[churn_flag]]=1, DATEDIF(subscriptions[[#This Row],[signup_date]],subscriptions[[#This Row],[churn_date]],"M"), DATEDIF(subscriptions[[#This Row],[signup_date]],TODAY(),"M"))</f>
        <v>25</v>
      </c>
      <c r="T548">
        <f ca="1">subscriptions[[#This Row],[monthly_revenue]]*subscriptions[[#This Row],[customer_lifetime]]</f>
        <v>14346.25</v>
      </c>
      <c r="U548" t="str">
        <f>IF(subscriptions[[#This Row],[feature_usage_pct]]&lt;30,"High Risk",IF(subscriptions[[#This Row],[feature_usage_pct]]&lt;60,"Medium Risk","Low Risk"))</f>
        <v>High Risk</v>
      </c>
      <c r="V548">
        <f ca="1">subscriptions[[#This Row],[CLV]]/200</f>
        <v>71.731250000000003</v>
      </c>
    </row>
    <row r="549" spans="1:22" x14ac:dyDescent="0.25">
      <c r="A549" t="s">
        <v>602</v>
      </c>
      <c r="B549" t="s">
        <v>36</v>
      </c>
      <c r="C549" t="s">
        <v>19</v>
      </c>
      <c r="D549" t="s">
        <v>49</v>
      </c>
      <c r="E549" s="2" t="s">
        <v>663</v>
      </c>
      <c r="F549">
        <v>31</v>
      </c>
      <c r="G549">
        <v>1094.5</v>
      </c>
      <c r="H549" t="s">
        <v>60</v>
      </c>
      <c r="I549" t="s">
        <v>55</v>
      </c>
      <c r="J549" s="1">
        <v>44889</v>
      </c>
      <c r="K549" t="s">
        <v>26</v>
      </c>
      <c r="N549">
        <v>1</v>
      </c>
      <c r="O549">
        <v>6</v>
      </c>
      <c r="P549">
        <v>49</v>
      </c>
      <c r="Q549" t="s">
        <v>26</v>
      </c>
      <c r="R549">
        <f>IF(subscriptions[[#This Row],[churned]]="Yes",1,0)</f>
        <v>0</v>
      </c>
      <c r="S549">
        <f ca="1">IF(subscriptions[[#This Row],[churn_flag]]=1, DATEDIF(subscriptions[[#This Row],[signup_date]],subscriptions[[#This Row],[churn_date]],"M"), DATEDIF(subscriptions[[#This Row],[signup_date]],TODAY(),"M"))</f>
        <v>41</v>
      </c>
      <c r="T549">
        <f ca="1">subscriptions[[#This Row],[monthly_revenue]]*subscriptions[[#This Row],[customer_lifetime]]</f>
        <v>44874.5</v>
      </c>
      <c r="U549" t="str">
        <f>IF(subscriptions[[#This Row],[feature_usage_pct]]&lt;30,"High Risk",IF(subscriptions[[#This Row],[feature_usage_pct]]&lt;60,"Medium Risk","Low Risk"))</f>
        <v>Medium Risk</v>
      </c>
      <c r="V549">
        <f ca="1">subscriptions[[#This Row],[CLV]]/200</f>
        <v>224.3725</v>
      </c>
    </row>
    <row r="550" spans="1:22" x14ac:dyDescent="0.25">
      <c r="A550" t="s">
        <v>603</v>
      </c>
      <c r="B550" t="s">
        <v>31</v>
      </c>
      <c r="C550" t="s">
        <v>28</v>
      </c>
      <c r="D550" t="s">
        <v>68</v>
      </c>
      <c r="E550" s="2" t="s">
        <v>663</v>
      </c>
      <c r="F550">
        <v>30</v>
      </c>
      <c r="G550">
        <v>131.88</v>
      </c>
      <c r="H550" t="s">
        <v>34</v>
      </c>
      <c r="I550" t="s">
        <v>23</v>
      </c>
      <c r="J550" s="1">
        <v>44640</v>
      </c>
      <c r="K550" t="s">
        <v>24</v>
      </c>
      <c r="L550" s="1">
        <v>44656</v>
      </c>
      <c r="M550" t="s">
        <v>56</v>
      </c>
      <c r="N550">
        <v>7</v>
      </c>
      <c r="O550">
        <v>1</v>
      </c>
      <c r="P550">
        <v>28</v>
      </c>
      <c r="Q550" t="s">
        <v>26</v>
      </c>
      <c r="R550">
        <f>IF(subscriptions[[#This Row],[churned]]="Yes",1,0)</f>
        <v>1</v>
      </c>
      <c r="S550">
        <f ca="1">IF(subscriptions[[#This Row],[churn_flag]]=1, DATEDIF(subscriptions[[#This Row],[signup_date]],subscriptions[[#This Row],[churn_date]],"M"), DATEDIF(subscriptions[[#This Row],[signup_date]],TODAY(),"M"))</f>
        <v>0</v>
      </c>
      <c r="T550">
        <f ca="1">subscriptions[[#This Row],[monthly_revenue]]*subscriptions[[#This Row],[customer_lifetime]]</f>
        <v>0</v>
      </c>
      <c r="U550" t="str">
        <f>IF(subscriptions[[#This Row],[feature_usage_pct]]&lt;30,"High Risk",IF(subscriptions[[#This Row],[feature_usage_pct]]&lt;60,"Medium Risk","Low Risk"))</f>
        <v>High Risk</v>
      </c>
      <c r="V550">
        <f ca="1">subscriptions[[#This Row],[CLV]]/200</f>
        <v>0</v>
      </c>
    </row>
    <row r="551" spans="1:22" x14ac:dyDescent="0.25">
      <c r="A551" t="s">
        <v>604</v>
      </c>
      <c r="B551" t="s">
        <v>31</v>
      </c>
      <c r="C551" t="s">
        <v>19</v>
      </c>
      <c r="D551" t="s">
        <v>42</v>
      </c>
      <c r="E551" s="2" t="s">
        <v>663</v>
      </c>
      <c r="F551">
        <v>31</v>
      </c>
      <c r="G551">
        <v>159.5</v>
      </c>
      <c r="H551" t="s">
        <v>22</v>
      </c>
      <c r="I551" t="s">
        <v>55</v>
      </c>
      <c r="J551" s="1">
        <v>45407</v>
      </c>
      <c r="K551" t="s">
        <v>24</v>
      </c>
      <c r="L551" s="1">
        <v>45537</v>
      </c>
      <c r="M551" t="s">
        <v>63</v>
      </c>
      <c r="N551">
        <v>1</v>
      </c>
      <c r="O551">
        <v>6</v>
      </c>
      <c r="P551">
        <v>33</v>
      </c>
      <c r="Q551" t="s">
        <v>26</v>
      </c>
      <c r="R551">
        <f>IF(subscriptions[[#This Row],[churned]]="Yes",1,0)</f>
        <v>1</v>
      </c>
      <c r="S551">
        <f ca="1">IF(subscriptions[[#This Row],[churn_flag]]=1, DATEDIF(subscriptions[[#This Row],[signup_date]],subscriptions[[#This Row],[churn_date]],"M"), DATEDIF(subscriptions[[#This Row],[signup_date]],TODAY(),"M"))</f>
        <v>4</v>
      </c>
      <c r="T551">
        <f ca="1">subscriptions[[#This Row],[monthly_revenue]]*subscriptions[[#This Row],[customer_lifetime]]</f>
        <v>638</v>
      </c>
      <c r="U551" t="str">
        <f>IF(subscriptions[[#This Row],[feature_usage_pct]]&lt;30,"High Risk",IF(subscriptions[[#This Row],[feature_usage_pct]]&lt;60,"Medium Risk","Low Risk"))</f>
        <v>Medium Risk</v>
      </c>
      <c r="V551">
        <f ca="1">subscriptions[[#This Row],[CLV]]/200</f>
        <v>3.19</v>
      </c>
    </row>
    <row r="552" spans="1:22" x14ac:dyDescent="0.25">
      <c r="A552" t="s">
        <v>605</v>
      </c>
      <c r="B552" t="s">
        <v>18</v>
      </c>
      <c r="C552" t="s">
        <v>28</v>
      </c>
      <c r="D552" t="s">
        <v>79</v>
      </c>
      <c r="E552" s="2" t="s">
        <v>33</v>
      </c>
      <c r="F552">
        <v>187</v>
      </c>
      <c r="G552">
        <v>1940.63</v>
      </c>
      <c r="H552" t="s">
        <v>60</v>
      </c>
      <c r="I552" t="s">
        <v>23</v>
      </c>
      <c r="J552" s="1">
        <v>45938</v>
      </c>
      <c r="K552" t="s">
        <v>26</v>
      </c>
      <c r="N552">
        <v>1</v>
      </c>
      <c r="O552">
        <v>3</v>
      </c>
      <c r="P552">
        <v>53</v>
      </c>
      <c r="Q552" t="s">
        <v>26</v>
      </c>
      <c r="R552">
        <f>IF(subscriptions[[#This Row],[churned]]="Yes",1,0)</f>
        <v>0</v>
      </c>
      <c r="S552">
        <f ca="1">IF(subscriptions[[#This Row],[churn_flag]]=1, DATEDIF(subscriptions[[#This Row],[signup_date]],subscriptions[[#This Row],[churn_date]],"M"), DATEDIF(subscriptions[[#This Row],[signup_date]],TODAY(),"M"))</f>
        <v>7</v>
      </c>
      <c r="T552">
        <f ca="1">subscriptions[[#This Row],[monthly_revenue]]*subscriptions[[#This Row],[customer_lifetime]]</f>
        <v>13584.41</v>
      </c>
      <c r="U552" t="str">
        <f>IF(subscriptions[[#This Row],[feature_usage_pct]]&lt;30,"High Risk",IF(subscriptions[[#This Row],[feature_usage_pct]]&lt;60,"Medium Risk","Low Risk"))</f>
        <v>Medium Risk</v>
      </c>
      <c r="V552">
        <f ca="1">subscriptions[[#This Row],[CLV]]/200</f>
        <v>67.922049999999999</v>
      </c>
    </row>
    <row r="553" spans="1:22" x14ac:dyDescent="0.25">
      <c r="A553" t="s">
        <v>606</v>
      </c>
      <c r="B553" t="s">
        <v>31</v>
      </c>
      <c r="C553" t="s">
        <v>19</v>
      </c>
      <c r="D553" t="s">
        <v>62</v>
      </c>
      <c r="E553" s="2" t="s">
        <v>663</v>
      </c>
      <c r="F553">
        <v>9</v>
      </c>
      <c r="G553">
        <v>63.8</v>
      </c>
      <c r="H553" t="s">
        <v>29</v>
      </c>
      <c r="I553" t="s">
        <v>23</v>
      </c>
      <c r="J553" s="1">
        <v>45726</v>
      </c>
      <c r="K553" t="s">
        <v>26</v>
      </c>
      <c r="N553">
        <v>9</v>
      </c>
      <c r="O553">
        <v>3</v>
      </c>
      <c r="P553">
        <v>22</v>
      </c>
      <c r="Q553" t="s">
        <v>26</v>
      </c>
      <c r="R553">
        <f>IF(subscriptions[[#This Row],[churned]]="Yes",1,0)</f>
        <v>0</v>
      </c>
      <c r="S553">
        <f ca="1">IF(subscriptions[[#This Row],[churn_flag]]=1, DATEDIF(subscriptions[[#This Row],[signup_date]],subscriptions[[#This Row],[churn_date]],"M"), DATEDIF(subscriptions[[#This Row],[signup_date]],TODAY(),"M"))</f>
        <v>14</v>
      </c>
      <c r="T553">
        <f ca="1">subscriptions[[#This Row],[monthly_revenue]]*subscriptions[[#This Row],[customer_lifetime]]</f>
        <v>893.19999999999993</v>
      </c>
      <c r="U553" t="str">
        <f>IF(subscriptions[[#This Row],[feature_usage_pct]]&lt;30,"High Risk",IF(subscriptions[[#This Row],[feature_usage_pct]]&lt;60,"Medium Risk","Low Risk"))</f>
        <v>High Risk</v>
      </c>
      <c r="V553">
        <f ca="1">subscriptions[[#This Row],[CLV]]/200</f>
        <v>4.4659999999999993</v>
      </c>
    </row>
    <row r="554" spans="1:22" x14ac:dyDescent="0.25">
      <c r="A554" t="s">
        <v>607</v>
      </c>
      <c r="B554" t="s">
        <v>31</v>
      </c>
      <c r="C554" t="s">
        <v>28</v>
      </c>
      <c r="D554" t="s">
        <v>42</v>
      </c>
      <c r="E554" s="2" t="s">
        <v>45</v>
      </c>
      <c r="F554">
        <v>135</v>
      </c>
      <c r="G554">
        <v>520.12</v>
      </c>
      <c r="H554" t="s">
        <v>98</v>
      </c>
      <c r="I554" t="s">
        <v>55</v>
      </c>
      <c r="J554" s="1">
        <v>45566</v>
      </c>
      <c r="K554" t="s">
        <v>26</v>
      </c>
      <c r="N554">
        <v>10</v>
      </c>
      <c r="O554">
        <v>4</v>
      </c>
      <c r="P554">
        <v>86</v>
      </c>
      <c r="Q554" t="s">
        <v>26</v>
      </c>
      <c r="R554">
        <f>IF(subscriptions[[#This Row],[churned]]="Yes",1,0)</f>
        <v>0</v>
      </c>
      <c r="S554">
        <f ca="1">IF(subscriptions[[#This Row],[churn_flag]]=1, DATEDIF(subscriptions[[#This Row],[signup_date]],subscriptions[[#This Row],[churn_date]],"M"), DATEDIF(subscriptions[[#This Row],[signup_date]],TODAY(),"M"))</f>
        <v>19</v>
      </c>
      <c r="T554">
        <f ca="1">subscriptions[[#This Row],[monthly_revenue]]*subscriptions[[#This Row],[customer_lifetime]]</f>
        <v>9882.2800000000007</v>
      </c>
      <c r="U554" t="str">
        <f>IF(subscriptions[[#This Row],[feature_usage_pct]]&lt;30,"High Risk",IF(subscriptions[[#This Row],[feature_usage_pct]]&lt;60,"Medium Risk","Low Risk"))</f>
        <v>Low Risk</v>
      </c>
      <c r="V554">
        <f ca="1">subscriptions[[#This Row],[CLV]]/200</f>
        <v>49.4114</v>
      </c>
    </row>
    <row r="555" spans="1:22" x14ac:dyDescent="0.25">
      <c r="A555" t="s">
        <v>608</v>
      </c>
      <c r="B555" t="s">
        <v>31</v>
      </c>
      <c r="C555" t="s">
        <v>28</v>
      </c>
      <c r="D555" t="s">
        <v>40</v>
      </c>
      <c r="E555" s="2" t="s">
        <v>21</v>
      </c>
      <c r="F555">
        <v>39</v>
      </c>
      <c r="G555">
        <v>165.16</v>
      </c>
      <c r="H555" t="s">
        <v>60</v>
      </c>
      <c r="I555" t="s">
        <v>23</v>
      </c>
      <c r="J555" s="1">
        <v>44609</v>
      </c>
      <c r="K555" t="s">
        <v>24</v>
      </c>
      <c r="L555" s="1">
        <v>44814</v>
      </c>
      <c r="M555" t="s">
        <v>56</v>
      </c>
      <c r="N555">
        <v>8</v>
      </c>
      <c r="O555">
        <v>6</v>
      </c>
      <c r="P555">
        <v>18</v>
      </c>
      <c r="Q555" t="s">
        <v>26</v>
      </c>
      <c r="R555">
        <f>IF(subscriptions[[#This Row],[churned]]="Yes",1,0)</f>
        <v>1</v>
      </c>
      <c r="S555">
        <f ca="1">IF(subscriptions[[#This Row],[churn_flag]]=1, DATEDIF(subscriptions[[#This Row],[signup_date]],subscriptions[[#This Row],[churn_date]],"M"), DATEDIF(subscriptions[[#This Row],[signup_date]],TODAY(),"M"))</f>
        <v>6</v>
      </c>
      <c r="T555">
        <f ca="1">subscriptions[[#This Row],[monthly_revenue]]*subscriptions[[#This Row],[customer_lifetime]]</f>
        <v>990.96</v>
      </c>
      <c r="U555" t="str">
        <f>IF(subscriptions[[#This Row],[feature_usage_pct]]&lt;30,"High Risk",IF(subscriptions[[#This Row],[feature_usage_pct]]&lt;60,"Medium Risk","Low Risk"))</f>
        <v>High Risk</v>
      </c>
      <c r="V555">
        <f ca="1">subscriptions[[#This Row],[CLV]]/200</f>
        <v>4.9548000000000005</v>
      </c>
    </row>
    <row r="556" spans="1:22" x14ac:dyDescent="0.25">
      <c r="A556" t="s">
        <v>609</v>
      </c>
      <c r="B556" t="s">
        <v>36</v>
      </c>
      <c r="C556" t="s">
        <v>28</v>
      </c>
      <c r="D556" t="s">
        <v>20</v>
      </c>
      <c r="E556" s="2" t="s">
        <v>663</v>
      </c>
      <c r="F556">
        <v>29</v>
      </c>
      <c r="G556">
        <v>879.58</v>
      </c>
      <c r="H556" t="s">
        <v>43</v>
      </c>
      <c r="I556" t="s">
        <v>23</v>
      </c>
      <c r="J556" s="1">
        <v>44770</v>
      </c>
      <c r="K556" t="s">
        <v>26</v>
      </c>
      <c r="N556">
        <v>2</v>
      </c>
      <c r="O556">
        <v>5</v>
      </c>
      <c r="P556">
        <v>71</v>
      </c>
      <c r="Q556" t="s">
        <v>26</v>
      </c>
      <c r="R556">
        <f>IF(subscriptions[[#This Row],[churned]]="Yes",1,0)</f>
        <v>0</v>
      </c>
      <c r="S556">
        <f ca="1">IF(subscriptions[[#This Row],[churn_flag]]=1, DATEDIF(subscriptions[[#This Row],[signup_date]],subscriptions[[#This Row],[churn_date]],"M"), DATEDIF(subscriptions[[#This Row],[signup_date]],TODAY(),"M"))</f>
        <v>45</v>
      </c>
      <c r="T556">
        <f ca="1">subscriptions[[#This Row],[monthly_revenue]]*subscriptions[[#This Row],[customer_lifetime]]</f>
        <v>39581.1</v>
      </c>
      <c r="U556" t="str">
        <f>IF(subscriptions[[#This Row],[feature_usage_pct]]&lt;30,"High Risk",IF(subscriptions[[#This Row],[feature_usage_pct]]&lt;60,"Medium Risk","Low Risk"))</f>
        <v>Low Risk</v>
      </c>
      <c r="V556">
        <f ca="1">subscriptions[[#This Row],[CLV]]/200</f>
        <v>197.90549999999999</v>
      </c>
    </row>
    <row r="557" spans="1:22" x14ac:dyDescent="0.25">
      <c r="A557" t="s">
        <v>610</v>
      </c>
      <c r="B557" t="s">
        <v>36</v>
      </c>
      <c r="C557" t="s">
        <v>19</v>
      </c>
      <c r="D557" t="s">
        <v>79</v>
      </c>
      <c r="E557" s="2" t="s">
        <v>33</v>
      </c>
      <c r="F557">
        <v>182</v>
      </c>
      <c r="G557">
        <v>5601.85</v>
      </c>
      <c r="H557" t="s">
        <v>60</v>
      </c>
      <c r="I557" t="s">
        <v>69</v>
      </c>
      <c r="J557" s="1">
        <v>45863</v>
      </c>
      <c r="K557" t="s">
        <v>24</v>
      </c>
      <c r="L557" s="1">
        <v>45866</v>
      </c>
      <c r="M557" t="s">
        <v>56</v>
      </c>
      <c r="N557">
        <v>4</v>
      </c>
      <c r="O557">
        <v>1</v>
      </c>
      <c r="P557">
        <v>21</v>
      </c>
      <c r="Q557" t="s">
        <v>26</v>
      </c>
      <c r="R557">
        <f>IF(subscriptions[[#This Row],[churned]]="Yes",1,0)</f>
        <v>1</v>
      </c>
      <c r="S557">
        <f ca="1">IF(subscriptions[[#This Row],[churn_flag]]=1, DATEDIF(subscriptions[[#This Row],[signup_date]],subscriptions[[#This Row],[churn_date]],"M"), DATEDIF(subscriptions[[#This Row],[signup_date]],TODAY(),"M"))</f>
        <v>0</v>
      </c>
      <c r="T557">
        <f ca="1">subscriptions[[#This Row],[monthly_revenue]]*subscriptions[[#This Row],[customer_lifetime]]</f>
        <v>0</v>
      </c>
      <c r="U557" t="str">
        <f>IF(subscriptions[[#This Row],[feature_usage_pct]]&lt;30,"High Risk",IF(subscriptions[[#This Row],[feature_usage_pct]]&lt;60,"Medium Risk","Low Risk"))</f>
        <v>High Risk</v>
      </c>
      <c r="V557">
        <f ca="1">subscriptions[[#This Row],[CLV]]/200</f>
        <v>0</v>
      </c>
    </row>
    <row r="558" spans="1:22" x14ac:dyDescent="0.25">
      <c r="A558" t="s">
        <v>611</v>
      </c>
      <c r="B558" t="s">
        <v>31</v>
      </c>
      <c r="C558" t="s">
        <v>19</v>
      </c>
      <c r="D558" t="s">
        <v>32</v>
      </c>
      <c r="E558" s="2" t="s">
        <v>45</v>
      </c>
      <c r="F558">
        <v>82</v>
      </c>
      <c r="G558">
        <v>381.35</v>
      </c>
      <c r="H558" t="s">
        <v>43</v>
      </c>
      <c r="I558" t="s">
        <v>23</v>
      </c>
      <c r="J558" s="1">
        <v>45941</v>
      </c>
      <c r="K558" t="s">
        <v>26</v>
      </c>
      <c r="N558">
        <v>1</v>
      </c>
      <c r="O558">
        <v>6</v>
      </c>
      <c r="P558">
        <v>33</v>
      </c>
      <c r="Q558" t="s">
        <v>26</v>
      </c>
      <c r="R558">
        <f>IF(subscriptions[[#This Row],[churned]]="Yes",1,0)</f>
        <v>0</v>
      </c>
      <c r="S558">
        <f ca="1">IF(subscriptions[[#This Row],[churn_flag]]=1, DATEDIF(subscriptions[[#This Row],[signup_date]],subscriptions[[#This Row],[churn_date]],"M"), DATEDIF(subscriptions[[#This Row],[signup_date]],TODAY(),"M"))</f>
        <v>7</v>
      </c>
      <c r="T558">
        <f ca="1">subscriptions[[#This Row],[monthly_revenue]]*subscriptions[[#This Row],[customer_lifetime]]</f>
        <v>2669.4500000000003</v>
      </c>
      <c r="U558" t="str">
        <f>IF(subscriptions[[#This Row],[feature_usage_pct]]&lt;30,"High Risk",IF(subscriptions[[#This Row],[feature_usage_pct]]&lt;60,"Medium Risk","Low Risk"))</f>
        <v>Medium Risk</v>
      </c>
      <c r="V558">
        <f ca="1">subscriptions[[#This Row],[CLV]]/200</f>
        <v>13.347250000000001</v>
      </c>
    </row>
    <row r="559" spans="1:22" x14ac:dyDescent="0.25">
      <c r="A559" t="s">
        <v>612</v>
      </c>
      <c r="B559" t="s">
        <v>36</v>
      </c>
      <c r="C559" t="s">
        <v>19</v>
      </c>
      <c r="D559" t="s">
        <v>62</v>
      </c>
      <c r="E559" s="2" t="s">
        <v>45</v>
      </c>
      <c r="F559">
        <v>74</v>
      </c>
      <c r="G559">
        <v>2378.0500000000002</v>
      </c>
      <c r="H559" t="s">
        <v>22</v>
      </c>
      <c r="I559" t="s">
        <v>38</v>
      </c>
      <c r="J559" s="1">
        <v>45772</v>
      </c>
      <c r="K559" t="s">
        <v>26</v>
      </c>
      <c r="N559">
        <v>0</v>
      </c>
      <c r="O559">
        <v>9</v>
      </c>
      <c r="P559">
        <v>71</v>
      </c>
      <c r="Q559" t="s">
        <v>24</v>
      </c>
      <c r="R559">
        <f>IF(subscriptions[[#This Row],[churned]]="Yes",1,0)</f>
        <v>0</v>
      </c>
      <c r="S559">
        <f ca="1">IF(subscriptions[[#This Row],[churn_flag]]=1, DATEDIF(subscriptions[[#This Row],[signup_date]],subscriptions[[#This Row],[churn_date]],"M"), DATEDIF(subscriptions[[#This Row],[signup_date]],TODAY(),"M"))</f>
        <v>12</v>
      </c>
      <c r="T559">
        <f ca="1">subscriptions[[#This Row],[monthly_revenue]]*subscriptions[[#This Row],[customer_lifetime]]</f>
        <v>28536.600000000002</v>
      </c>
      <c r="U559" t="str">
        <f>IF(subscriptions[[#This Row],[feature_usage_pct]]&lt;30,"High Risk",IF(subscriptions[[#This Row],[feature_usage_pct]]&lt;60,"Medium Risk","Low Risk"))</f>
        <v>Low Risk</v>
      </c>
      <c r="V559">
        <f ca="1">subscriptions[[#This Row],[CLV]]/200</f>
        <v>142.68300000000002</v>
      </c>
    </row>
    <row r="560" spans="1:22" x14ac:dyDescent="0.25">
      <c r="A560" t="s">
        <v>613</v>
      </c>
      <c r="B560" t="s">
        <v>18</v>
      </c>
      <c r="C560" t="s">
        <v>28</v>
      </c>
      <c r="D560" t="s">
        <v>52</v>
      </c>
      <c r="E560" s="2" t="s">
        <v>663</v>
      </c>
      <c r="F560">
        <v>30</v>
      </c>
      <c r="G560">
        <v>359.25</v>
      </c>
      <c r="H560" t="s">
        <v>34</v>
      </c>
      <c r="I560" t="s">
        <v>23</v>
      </c>
      <c r="J560" s="1">
        <v>44892</v>
      </c>
      <c r="K560" t="s">
        <v>24</v>
      </c>
      <c r="L560" s="1">
        <v>45180</v>
      </c>
      <c r="M560" t="s">
        <v>53</v>
      </c>
      <c r="N560">
        <v>11</v>
      </c>
      <c r="O560">
        <v>1</v>
      </c>
      <c r="P560">
        <v>26</v>
      </c>
      <c r="Q560" t="s">
        <v>26</v>
      </c>
      <c r="R560">
        <f>IF(subscriptions[[#This Row],[churned]]="Yes",1,0)</f>
        <v>1</v>
      </c>
      <c r="S560">
        <f ca="1">IF(subscriptions[[#This Row],[churn_flag]]=1, DATEDIF(subscriptions[[#This Row],[signup_date]],subscriptions[[#This Row],[churn_date]],"M"), DATEDIF(subscriptions[[#This Row],[signup_date]],TODAY(),"M"))</f>
        <v>9</v>
      </c>
      <c r="T560">
        <f ca="1">subscriptions[[#This Row],[monthly_revenue]]*subscriptions[[#This Row],[customer_lifetime]]</f>
        <v>3233.25</v>
      </c>
      <c r="U560" t="str">
        <f>IF(subscriptions[[#This Row],[feature_usage_pct]]&lt;30,"High Risk",IF(subscriptions[[#This Row],[feature_usage_pct]]&lt;60,"Medium Risk","Low Risk"))</f>
        <v>High Risk</v>
      </c>
      <c r="V560">
        <f ca="1">subscriptions[[#This Row],[CLV]]/200</f>
        <v>16.166250000000002</v>
      </c>
    </row>
    <row r="561" spans="1:22" x14ac:dyDescent="0.25">
      <c r="A561" t="s">
        <v>614</v>
      </c>
      <c r="B561" t="s">
        <v>31</v>
      </c>
      <c r="C561" t="s">
        <v>19</v>
      </c>
      <c r="D561" t="s">
        <v>68</v>
      </c>
      <c r="E561" s="2" t="s">
        <v>663</v>
      </c>
      <c r="F561">
        <v>6</v>
      </c>
      <c r="G561">
        <v>50.75</v>
      </c>
      <c r="H561" t="s">
        <v>22</v>
      </c>
      <c r="I561" t="s">
        <v>55</v>
      </c>
      <c r="J561" s="1">
        <v>45516</v>
      </c>
      <c r="K561" t="s">
        <v>24</v>
      </c>
      <c r="L561" s="1">
        <v>45832</v>
      </c>
      <c r="M561" t="s">
        <v>25</v>
      </c>
      <c r="N561">
        <v>9</v>
      </c>
      <c r="O561">
        <v>1</v>
      </c>
      <c r="P561">
        <v>45</v>
      </c>
      <c r="Q561" t="s">
        <v>26</v>
      </c>
      <c r="R561">
        <f>IF(subscriptions[[#This Row],[churned]]="Yes",1,0)</f>
        <v>1</v>
      </c>
      <c r="S561">
        <f ca="1">IF(subscriptions[[#This Row],[churn_flag]]=1, DATEDIF(subscriptions[[#This Row],[signup_date]],subscriptions[[#This Row],[churn_date]],"M"), DATEDIF(subscriptions[[#This Row],[signup_date]],TODAY(),"M"))</f>
        <v>10</v>
      </c>
      <c r="T561">
        <f ca="1">subscriptions[[#This Row],[monthly_revenue]]*subscriptions[[#This Row],[customer_lifetime]]</f>
        <v>507.5</v>
      </c>
      <c r="U561" t="str">
        <f>IF(subscriptions[[#This Row],[feature_usage_pct]]&lt;30,"High Risk",IF(subscriptions[[#This Row],[feature_usage_pct]]&lt;60,"Medium Risk","Low Risk"))</f>
        <v>Medium Risk</v>
      </c>
      <c r="V561">
        <f ca="1">subscriptions[[#This Row],[CLV]]/200</f>
        <v>2.5375000000000001</v>
      </c>
    </row>
    <row r="562" spans="1:22" x14ac:dyDescent="0.25">
      <c r="A562" t="s">
        <v>615</v>
      </c>
      <c r="B562" t="s">
        <v>71</v>
      </c>
      <c r="C562" t="s">
        <v>19</v>
      </c>
      <c r="D562" t="s">
        <v>68</v>
      </c>
      <c r="E562" s="2" t="s">
        <v>663</v>
      </c>
      <c r="F562">
        <v>17</v>
      </c>
      <c r="G562">
        <v>1696.6</v>
      </c>
      <c r="H562" t="s">
        <v>22</v>
      </c>
      <c r="I562" t="s">
        <v>55</v>
      </c>
      <c r="J562" s="1">
        <v>45128</v>
      </c>
      <c r="K562" t="s">
        <v>26</v>
      </c>
      <c r="N562">
        <v>9</v>
      </c>
      <c r="O562">
        <v>3</v>
      </c>
      <c r="P562">
        <v>41</v>
      </c>
      <c r="Q562" t="s">
        <v>26</v>
      </c>
      <c r="R562">
        <f>IF(subscriptions[[#This Row],[churned]]="Yes",1,0)</f>
        <v>0</v>
      </c>
      <c r="S562">
        <f ca="1">IF(subscriptions[[#This Row],[churn_flag]]=1, DATEDIF(subscriptions[[#This Row],[signup_date]],subscriptions[[#This Row],[churn_date]],"M"), DATEDIF(subscriptions[[#This Row],[signup_date]],TODAY(),"M"))</f>
        <v>33</v>
      </c>
      <c r="T562">
        <f ca="1">subscriptions[[#This Row],[monthly_revenue]]*subscriptions[[#This Row],[customer_lifetime]]</f>
        <v>55987.799999999996</v>
      </c>
      <c r="U562" t="str">
        <f>IF(subscriptions[[#This Row],[feature_usage_pct]]&lt;30,"High Risk",IF(subscriptions[[#This Row],[feature_usage_pct]]&lt;60,"Medium Risk","Low Risk"))</f>
        <v>Medium Risk</v>
      </c>
      <c r="V562">
        <f ca="1">subscriptions[[#This Row],[CLV]]/200</f>
        <v>279.93899999999996</v>
      </c>
    </row>
    <row r="563" spans="1:22" x14ac:dyDescent="0.25">
      <c r="A563" t="s">
        <v>616</v>
      </c>
      <c r="B563" t="s">
        <v>36</v>
      </c>
      <c r="C563" t="s">
        <v>19</v>
      </c>
      <c r="D563" t="s">
        <v>52</v>
      </c>
      <c r="E563" s="2" t="s">
        <v>21</v>
      </c>
      <c r="F563">
        <v>30</v>
      </c>
      <c r="G563">
        <v>1064.6500000000001</v>
      </c>
      <c r="H563" t="s">
        <v>43</v>
      </c>
      <c r="I563" t="s">
        <v>23</v>
      </c>
      <c r="J563" s="1">
        <v>45942</v>
      </c>
      <c r="K563" t="s">
        <v>26</v>
      </c>
      <c r="N563">
        <v>6</v>
      </c>
      <c r="O563">
        <v>10</v>
      </c>
      <c r="P563">
        <v>17</v>
      </c>
      <c r="Q563" t="s">
        <v>26</v>
      </c>
      <c r="R563">
        <f>IF(subscriptions[[#This Row],[churned]]="Yes",1,0)</f>
        <v>0</v>
      </c>
      <c r="S563">
        <f ca="1">IF(subscriptions[[#This Row],[churn_flag]]=1, DATEDIF(subscriptions[[#This Row],[signup_date]],subscriptions[[#This Row],[churn_date]],"M"), DATEDIF(subscriptions[[#This Row],[signup_date]],TODAY(),"M"))</f>
        <v>7</v>
      </c>
      <c r="T563">
        <f ca="1">subscriptions[[#This Row],[monthly_revenue]]*subscriptions[[#This Row],[customer_lifetime]]</f>
        <v>7452.5500000000011</v>
      </c>
      <c r="U563" t="str">
        <f>IF(subscriptions[[#This Row],[feature_usage_pct]]&lt;30,"High Risk",IF(subscriptions[[#This Row],[feature_usage_pct]]&lt;60,"Medium Risk","Low Risk"))</f>
        <v>High Risk</v>
      </c>
      <c r="V563">
        <f ca="1">subscriptions[[#This Row],[CLV]]/200</f>
        <v>37.262750000000004</v>
      </c>
    </row>
    <row r="564" spans="1:22" x14ac:dyDescent="0.25">
      <c r="A564" t="s">
        <v>617</v>
      </c>
      <c r="B564" t="s">
        <v>31</v>
      </c>
      <c r="C564" t="s">
        <v>19</v>
      </c>
      <c r="D564" t="s">
        <v>42</v>
      </c>
      <c r="E564" s="2" t="s">
        <v>664</v>
      </c>
      <c r="F564">
        <v>8</v>
      </c>
      <c r="G564">
        <v>59.45</v>
      </c>
      <c r="H564" t="s">
        <v>22</v>
      </c>
      <c r="I564" t="s">
        <v>55</v>
      </c>
      <c r="J564" s="1">
        <v>45605</v>
      </c>
      <c r="K564" t="s">
        <v>24</v>
      </c>
      <c r="L564" s="1">
        <v>45791</v>
      </c>
      <c r="M564" t="s">
        <v>50</v>
      </c>
      <c r="N564">
        <v>3</v>
      </c>
      <c r="O564">
        <v>5</v>
      </c>
      <c r="P564">
        <v>27</v>
      </c>
      <c r="Q564" t="s">
        <v>26</v>
      </c>
      <c r="R564">
        <f>IF(subscriptions[[#This Row],[churned]]="Yes",1,0)</f>
        <v>1</v>
      </c>
      <c r="S564">
        <f ca="1">IF(subscriptions[[#This Row],[churn_flag]]=1, DATEDIF(subscriptions[[#This Row],[signup_date]],subscriptions[[#This Row],[churn_date]],"M"), DATEDIF(subscriptions[[#This Row],[signup_date]],TODAY(),"M"))</f>
        <v>6</v>
      </c>
      <c r="T564">
        <f ca="1">subscriptions[[#This Row],[monthly_revenue]]*subscriptions[[#This Row],[customer_lifetime]]</f>
        <v>356.70000000000005</v>
      </c>
      <c r="U564" t="str">
        <f>IF(subscriptions[[#This Row],[feature_usage_pct]]&lt;30,"High Risk",IF(subscriptions[[#This Row],[feature_usage_pct]]&lt;60,"Medium Risk","Low Risk"))</f>
        <v>High Risk</v>
      </c>
      <c r="V564">
        <f ca="1">subscriptions[[#This Row],[CLV]]/200</f>
        <v>1.7835000000000003</v>
      </c>
    </row>
    <row r="565" spans="1:22" x14ac:dyDescent="0.25">
      <c r="A565" t="s">
        <v>618</v>
      </c>
      <c r="B565" t="s">
        <v>18</v>
      </c>
      <c r="C565" t="s">
        <v>19</v>
      </c>
      <c r="D565" t="s">
        <v>42</v>
      </c>
      <c r="E565" s="2" t="s">
        <v>664</v>
      </c>
      <c r="F565">
        <v>8</v>
      </c>
      <c r="G565">
        <v>161.94999999999999</v>
      </c>
      <c r="H565" t="s">
        <v>60</v>
      </c>
      <c r="I565" t="s">
        <v>38</v>
      </c>
      <c r="J565" s="1">
        <v>45733</v>
      </c>
      <c r="K565" t="s">
        <v>26</v>
      </c>
      <c r="N565">
        <v>10</v>
      </c>
      <c r="O565">
        <v>10</v>
      </c>
      <c r="P565">
        <v>78</v>
      </c>
      <c r="Q565" t="s">
        <v>26</v>
      </c>
      <c r="R565">
        <f>IF(subscriptions[[#This Row],[churned]]="Yes",1,0)</f>
        <v>0</v>
      </c>
      <c r="S565">
        <f ca="1">IF(subscriptions[[#This Row],[churn_flag]]=1, DATEDIF(subscriptions[[#This Row],[signup_date]],subscriptions[[#This Row],[churn_date]],"M"), DATEDIF(subscriptions[[#This Row],[signup_date]],TODAY(),"M"))</f>
        <v>13</v>
      </c>
      <c r="T565">
        <f ca="1">subscriptions[[#This Row],[monthly_revenue]]*subscriptions[[#This Row],[customer_lifetime]]</f>
        <v>2105.35</v>
      </c>
      <c r="U565" t="str">
        <f>IF(subscriptions[[#This Row],[feature_usage_pct]]&lt;30,"High Risk",IF(subscriptions[[#This Row],[feature_usage_pct]]&lt;60,"Medium Risk","Low Risk"))</f>
        <v>Low Risk</v>
      </c>
      <c r="V565">
        <f ca="1">subscriptions[[#This Row],[CLV]]/200</f>
        <v>10.52675</v>
      </c>
    </row>
    <row r="566" spans="1:22" x14ac:dyDescent="0.25">
      <c r="A566" t="s">
        <v>619</v>
      </c>
      <c r="B566" t="s">
        <v>36</v>
      </c>
      <c r="C566" t="s">
        <v>19</v>
      </c>
      <c r="D566" t="s">
        <v>40</v>
      </c>
      <c r="E566" s="2" t="s">
        <v>664</v>
      </c>
      <c r="F566">
        <v>6</v>
      </c>
      <c r="G566">
        <v>348.25</v>
      </c>
      <c r="H566" t="s">
        <v>43</v>
      </c>
      <c r="I566" t="s">
        <v>55</v>
      </c>
      <c r="J566" s="1">
        <v>45226</v>
      </c>
      <c r="K566" t="s">
        <v>24</v>
      </c>
      <c r="L566" s="1">
        <v>45963</v>
      </c>
      <c r="M566" t="s">
        <v>25</v>
      </c>
      <c r="N566">
        <v>10</v>
      </c>
      <c r="O566">
        <v>1</v>
      </c>
      <c r="P566">
        <v>19</v>
      </c>
      <c r="Q566" t="s">
        <v>26</v>
      </c>
      <c r="R566">
        <f>IF(subscriptions[[#This Row],[churned]]="Yes",1,0)</f>
        <v>1</v>
      </c>
      <c r="S566">
        <f ca="1">IF(subscriptions[[#This Row],[churn_flag]]=1, DATEDIF(subscriptions[[#This Row],[signup_date]],subscriptions[[#This Row],[churn_date]],"M"), DATEDIF(subscriptions[[#This Row],[signup_date]],TODAY(),"M"))</f>
        <v>24</v>
      </c>
      <c r="T566">
        <f ca="1">subscriptions[[#This Row],[monthly_revenue]]*subscriptions[[#This Row],[customer_lifetime]]</f>
        <v>8358</v>
      </c>
      <c r="U566" t="str">
        <f>IF(subscriptions[[#This Row],[feature_usage_pct]]&lt;30,"High Risk",IF(subscriptions[[#This Row],[feature_usage_pct]]&lt;60,"Medium Risk","Low Risk"))</f>
        <v>High Risk</v>
      </c>
      <c r="V566">
        <f ca="1">subscriptions[[#This Row],[CLV]]/200</f>
        <v>41.79</v>
      </c>
    </row>
    <row r="567" spans="1:22" x14ac:dyDescent="0.25">
      <c r="A567" t="s">
        <v>620</v>
      </c>
      <c r="B567" t="s">
        <v>18</v>
      </c>
      <c r="C567" t="s">
        <v>19</v>
      </c>
      <c r="D567" t="s">
        <v>37</v>
      </c>
      <c r="E567" s="2" t="s">
        <v>664</v>
      </c>
      <c r="F567">
        <v>8</v>
      </c>
      <c r="G567">
        <v>161.94999999999999</v>
      </c>
      <c r="H567" t="s">
        <v>22</v>
      </c>
      <c r="I567" t="s">
        <v>38</v>
      </c>
      <c r="J567" s="1">
        <v>44797</v>
      </c>
      <c r="K567" t="s">
        <v>24</v>
      </c>
      <c r="L567" s="1">
        <v>44827</v>
      </c>
      <c r="M567" t="s">
        <v>53</v>
      </c>
      <c r="N567">
        <v>1</v>
      </c>
      <c r="O567">
        <v>3</v>
      </c>
      <c r="P567">
        <v>15</v>
      </c>
      <c r="Q567" t="s">
        <v>26</v>
      </c>
      <c r="R567">
        <f>IF(subscriptions[[#This Row],[churned]]="Yes",1,0)</f>
        <v>1</v>
      </c>
      <c r="S567">
        <f ca="1">IF(subscriptions[[#This Row],[churn_flag]]=1, DATEDIF(subscriptions[[#This Row],[signup_date]],subscriptions[[#This Row],[churn_date]],"M"), DATEDIF(subscriptions[[#This Row],[signup_date]],TODAY(),"M"))</f>
        <v>0</v>
      </c>
      <c r="T567">
        <f ca="1">subscriptions[[#This Row],[monthly_revenue]]*subscriptions[[#This Row],[customer_lifetime]]</f>
        <v>0</v>
      </c>
      <c r="U567" t="str">
        <f>IF(subscriptions[[#This Row],[feature_usage_pct]]&lt;30,"High Risk",IF(subscriptions[[#This Row],[feature_usage_pct]]&lt;60,"Medium Risk","Low Risk"))</f>
        <v>High Risk</v>
      </c>
      <c r="V567">
        <f ca="1">subscriptions[[#This Row],[CLV]]/200</f>
        <v>0</v>
      </c>
    </row>
    <row r="568" spans="1:22" x14ac:dyDescent="0.25">
      <c r="A568" t="s">
        <v>621</v>
      </c>
      <c r="B568" t="s">
        <v>31</v>
      </c>
      <c r="C568" t="s">
        <v>28</v>
      </c>
      <c r="D568" t="s">
        <v>40</v>
      </c>
      <c r="E568" s="2" t="s">
        <v>663</v>
      </c>
      <c r="F568">
        <v>27</v>
      </c>
      <c r="G568">
        <v>120.78</v>
      </c>
      <c r="H568" t="s">
        <v>29</v>
      </c>
      <c r="I568" t="s">
        <v>38</v>
      </c>
      <c r="J568" s="1">
        <v>45465</v>
      </c>
      <c r="K568" t="s">
        <v>24</v>
      </c>
      <c r="L568" s="1">
        <v>45522</v>
      </c>
      <c r="M568" t="s">
        <v>53</v>
      </c>
      <c r="N568">
        <v>10</v>
      </c>
      <c r="O568">
        <v>4</v>
      </c>
      <c r="P568">
        <v>11</v>
      </c>
      <c r="Q568" t="s">
        <v>26</v>
      </c>
      <c r="R568">
        <f>IF(subscriptions[[#This Row],[churned]]="Yes",1,0)</f>
        <v>1</v>
      </c>
      <c r="S568">
        <f ca="1">IF(subscriptions[[#This Row],[churn_flag]]=1, DATEDIF(subscriptions[[#This Row],[signup_date]],subscriptions[[#This Row],[churn_date]],"M"), DATEDIF(subscriptions[[#This Row],[signup_date]],TODAY(),"M"))</f>
        <v>1</v>
      </c>
      <c r="T568">
        <f ca="1">subscriptions[[#This Row],[monthly_revenue]]*subscriptions[[#This Row],[customer_lifetime]]</f>
        <v>120.78</v>
      </c>
      <c r="U568" t="str">
        <f>IF(subscriptions[[#This Row],[feature_usage_pct]]&lt;30,"High Risk",IF(subscriptions[[#This Row],[feature_usage_pct]]&lt;60,"Medium Risk","Low Risk"))</f>
        <v>High Risk</v>
      </c>
      <c r="V568">
        <f ca="1">subscriptions[[#This Row],[CLV]]/200</f>
        <v>0.60389999999999999</v>
      </c>
    </row>
    <row r="569" spans="1:22" x14ac:dyDescent="0.25">
      <c r="A569" t="s">
        <v>622</v>
      </c>
      <c r="B569" t="s">
        <v>31</v>
      </c>
      <c r="C569" t="s">
        <v>28</v>
      </c>
      <c r="D569" t="s">
        <v>62</v>
      </c>
      <c r="E569" s="2" t="s">
        <v>21</v>
      </c>
      <c r="F569">
        <v>50</v>
      </c>
      <c r="G569">
        <v>205.83</v>
      </c>
      <c r="H569" t="s">
        <v>43</v>
      </c>
      <c r="I569" t="s">
        <v>23</v>
      </c>
      <c r="J569" s="1">
        <v>45802</v>
      </c>
      <c r="K569" t="s">
        <v>26</v>
      </c>
      <c r="N569">
        <v>5</v>
      </c>
      <c r="O569">
        <v>8</v>
      </c>
      <c r="P569">
        <v>66</v>
      </c>
      <c r="Q569" t="s">
        <v>26</v>
      </c>
      <c r="R569">
        <f>IF(subscriptions[[#This Row],[churned]]="Yes",1,0)</f>
        <v>0</v>
      </c>
      <c r="S569">
        <f ca="1">IF(subscriptions[[#This Row],[churn_flag]]=1, DATEDIF(subscriptions[[#This Row],[signup_date]],subscriptions[[#This Row],[churn_date]],"M"), DATEDIF(subscriptions[[#This Row],[signup_date]],TODAY(),"M"))</f>
        <v>11</v>
      </c>
      <c r="T569">
        <f ca="1">subscriptions[[#This Row],[monthly_revenue]]*subscriptions[[#This Row],[customer_lifetime]]</f>
        <v>2264.13</v>
      </c>
      <c r="U569" t="str">
        <f>IF(subscriptions[[#This Row],[feature_usage_pct]]&lt;30,"High Risk",IF(subscriptions[[#This Row],[feature_usage_pct]]&lt;60,"Medium Risk","Low Risk"))</f>
        <v>Low Risk</v>
      </c>
      <c r="V569">
        <f ca="1">subscriptions[[#This Row],[CLV]]/200</f>
        <v>11.320650000000001</v>
      </c>
    </row>
    <row r="570" spans="1:22" x14ac:dyDescent="0.25">
      <c r="A570" t="s">
        <v>623</v>
      </c>
      <c r="B570" t="s">
        <v>18</v>
      </c>
      <c r="C570" t="s">
        <v>19</v>
      </c>
      <c r="D570" t="s">
        <v>52</v>
      </c>
      <c r="E570" s="2" t="s">
        <v>663</v>
      </c>
      <c r="F570">
        <v>13</v>
      </c>
      <c r="G570">
        <v>221.2</v>
      </c>
      <c r="H570" t="s">
        <v>22</v>
      </c>
      <c r="I570" t="s">
        <v>38</v>
      </c>
      <c r="J570" s="1">
        <v>45808</v>
      </c>
      <c r="K570" t="s">
        <v>26</v>
      </c>
      <c r="N570">
        <v>5</v>
      </c>
      <c r="O570">
        <v>5</v>
      </c>
      <c r="P570">
        <v>53</v>
      </c>
      <c r="Q570" t="s">
        <v>26</v>
      </c>
      <c r="R570">
        <f>IF(subscriptions[[#This Row],[churned]]="Yes",1,0)</f>
        <v>0</v>
      </c>
      <c r="S570">
        <f ca="1">IF(subscriptions[[#This Row],[churn_flag]]=1, DATEDIF(subscriptions[[#This Row],[signup_date]],subscriptions[[#This Row],[churn_date]],"M"), DATEDIF(subscriptions[[#This Row],[signup_date]],TODAY(),"M"))</f>
        <v>11</v>
      </c>
      <c r="T570">
        <f ca="1">subscriptions[[#This Row],[monthly_revenue]]*subscriptions[[#This Row],[customer_lifetime]]</f>
        <v>2433.1999999999998</v>
      </c>
      <c r="U570" t="str">
        <f>IF(subscriptions[[#This Row],[feature_usage_pct]]&lt;30,"High Risk",IF(subscriptions[[#This Row],[feature_usage_pct]]&lt;60,"Medium Risk","Low Risk"))</f>
        <v>Medium Risk</v>
      </c>
      <c r="V570">
        <f ca="1">subscriptions[[#This Row],[CLV]]/200</f>
        <v>12.165999999999999</v>
      </c>
    </row>
    <row r="571" spans="1:22" x14ac:dyDescent="0.25">
      <c r="A571" t="s">
        <v>624</v>
      </c>
      <c r="B571" t="s">
        <v>36</v>
      </c>
      <c r="C571" t="s">
        <v>28</v>
      </c>
      <c r="D571" t="s">
        <v>42</v>
      </c>
      <c r="E571" s="2" t="s">
        <v>663</v>
      </c>
      <c r="F571">
        <v>23</v>
      </c>
      <c r="G571">
        <v>727.34</v>
      </c>
      <c r="H571" t="s">
        <v>22</v>
      </c>
      <c r="I571" t="s">
        <v>23</v>
      </c>
      <c r="J571" s="1">
        <v>45419</v>
      </c>
      <c r="K571" t="s">
        <v>26</v>
      </c>
      <c r="N571">
        <v>2</v>
      </c>
      <c r="O571">
        <v>5</v>
      </c>
      <c r="P571">
        <v>19</v>
      </c>
      <c r="Q571" t="s">
        <v>26</v>
      </c>
      <c r="R571">
        <f>IF(subscriptions[[#This Row],[churned]]="Yes",1,0)</f>
        <v>0</v>
      </c>
      <c r="S571">
        <f ca="1">IF(subscriptions[[#This Row],[churn_flag]]=1, DATEDIF(subscriptions[[#This Row],[signup_date]],subscriptions[[#This Row],[churn_date]],"M"), DATEDIF(subscriptions[[#This Row],[signup_date]],TODAY(),"M"))</f>
        <v>24</v>
      </c>
      <c r="T571">
        <f ca="1">subscriptions[[#This Row],[monthly_revenue]]*subscriptions[[#This Row],[customer_lifetime]]</f>
        <v>17456.16</v>
      </c>
      <c r="U571" t="str">
        <f>IF(subscriptions[[#This Row],[feature_usage_pct]]&lt;30,"High Risk",IF(subscriptions[[#This Row],[feature_usage_pct]]&lt;60,"Medium Risk","Low Risk"))</f>
        <v>High Risk</v>
      </c>
      <c r="V571">
        <f ca="1">subscriptions[[#This Row],[CLV]]/200</f>
        <v>87.280799999999999</v>
      </c>
    </row>
    <row r="572" spans="1:22" x14ac:dyDescent="0.25">
      <c r="A572" t="s">
        <v>625</v>
      </c>
      <c r="B572" t="s">
        <v>31</v>
      </c>
      <c r="C572" t="s">
        <v>19</v>
      </c>
      <c r="D572" t="s">
        <v>68</v>
      </c>
      <c r="E572" s="2" t="s">
        <v>664</v>
      </c>
      <c r="F572">
        <v>2</v>
      </c>
      <c r="G572">
        <v>33.35</v>
      </c>
      <c r="H572" t="s">
        <v>43</v>
      </c>
      <c r="I572" t="s">
        <v>23</v>
      </c>
      <c r="J572" s="1">
        <v>44598</v>
      </c>
      <c r="K572" t="s">
        <v>24</v>
      </c>
      <c r="L572" s="1">
        <v>44606</v>
      </c>
      <c r="M572" t="s">
        <v>50</v>
      </c>
      <c r="N572">
        <v>15</v>
      </c>
      <c r="O572">
        <v>1</v>
      </c>
      <c r="P572">
        <v>15</v>
      </c>
      <c r="Q572" t="s">
        <v>26</v>
      </c>
      <c r="R572">
        <f>IF(subscriptions[[#This Row],[churned]]="Yes",1,0)</f>
        <v>1</v>
      </c>
      <c r="S572">
        <f ca="1">IF(subscriptions[[#This Row],[churn_flag]]=1, DATEDIF(subscriptions[[#This Row],[signup_date]],subscriptions[[#This Row],[churn_date]],"M"), DATEDIF(subscriptions[[#This Row],[signup_date]],TODAY(),"M"))</f>
        <v>0</v>
      </c>
      <c r="T572">
        <f ca="1">subscriptions[[#This Row],[monthly_revenue]]*subscriptions[[#This Row],[customer_lifetime]]</f>
        <v>0</v>
      </c>
      <c r="U572" t="str">
        <f>IF(subscriptions[[#This Row],[feature_usage_pct]]&lt;30,"High Risk",IF(subscriptions[[#This Row],[feature_usage_pct]]&lt;60,"Medium Risk","Low Risk"))</f>
        <v>High Risk</v>
      </c>
      <c r="V572">
        <f ca="1">subscriptions[[#This Row],[CLV]]/200</f>
        <v>0</v>
      </c>
    </row>
    <row r="573" spans="1:22" x14ac:dyDescent="0.25">
      <c r="A573" t="s">
        <v>626</v>
      </c>
      <c r="B573" t="s">
        <v>31</v>
      </c>
      <c r="C573" t="s">
        <v>19</v>
      </c>
      <c r="D573" t="s">
        <v>40</v>
      </c>
      <c r="E573" s="2" t="s">
        <v>664</v>
      </c>
      <c r="F573">
        <v>3</v>
      </c>
      <c r="G573">
        <v>37.700000000000003</v>
      </c>
      <c r="H573" t="s">
        <v>98</v>
      </c>
      <c r="I573" t="s">
        <v>55</v>
      </c>
      <c r="J573" s="1">
        <v>44873</v>
      </c>
      <c r="K573" t="s">
        <v>24</v>
      </c>
      <c r="L573" s="1">
        <v>45154</v>
      </c>
      <c r="M573" t="s">
        <v>50</v>
      </c>
      <c r="N573">
        <v>6</v>
      </c>
      <c r="O573">
        <v>5</v>
      </c>
      <c r="P573">
        <v>33</v>
      </c>
      <c r="Q573" t="s">
        <v>26</v>
      </c>
      <c r="R573">
        <f>IF(subscriptions[[#This Row],[churned]]="Yes",1,0)</f>
        <v>1</v>
      </c>
      <c r="S573">
        <f ca="1">IF(subscriptions[[#This Row],[churn_flag]]=1, DATEDIF(subscriptions[[#This Row],[signup_date]],subscriptions[[#This Row],[churn_date]],"M"), DATEDIF(subscriptions[[#This Row],[signup_date]],TODAY(),"M"))</f>
        <v>9</v>
      </c>
      <c r="T573">
        <f ca="1">subscriptions[[#This Row],[monthly_revenue]]*subscriptions[[#This Row],[customer_lifetime]]</f>
        <v>339.3</v>
      </c>
      <c r="U573" t="str">
        <f>IF(subscriptions[[#This Row],[feature_usage_pct]]&lt;30,"High Risk",IF(subscriptions[[#This Row],[feature_usage_pct]]&lt;60,"Medium Risk","Low Risk"))</f>
        <v>Medium Risk</v>
      </c>
      <c r="V573">
        <f ca="1">subscriptions[[#This Row],[CLV]]/200</f>
        <v>1.6965000000000001</v>
      </c>
    </row>
    <row r="574" spans="1:22" x14ac:dyDescent="0.25">
      <c r="A574" t="s">
        <v>627</v>
      </c>
      <c r="B574" t="s">
        <v>18</v>
      </c>
      <c r="C574" t="s">
        <v>28</v>
      </c>
      <c r="D574" t="s">
        <v>79</v>
      </c>
      <c r="E574" s="2" t="s">
        <v>21</v>
      </c>
      <c r="F574">
        <v>34</v>
      </c>
      <c r="G574">
        <v>399.54</v>
      </c>
      <c r="H574" t="s">
        <v>34</v>
      </c>
      <c r="I574" t="s">
        <v>55</v>
      </c>
      <c r="J574" s="1">
        <v>44789</v>
      </c>
      <c r="K574" t="s">
        <v>26</v>
      </c>
      <c r="N574">
        <v>6</v>
      </c>
      <c r="O574">
        <v>5</v>
      </c>
      <c r="P574">
        <v>39</v>
      </c>
      <c r="Q574" t="s">
        <v>26</v>
      </c>
      <c r="R574">
        <f>IF(subscriptions[[#This Row],[churned]]="Yes",1,0)</f>
        <v>0</v>
      </c>
      <c r="S574">
        <f ca="1">IF(subscriptions[[#This Row],[churn_flag]]=1, DATEDIF(subscriptions[[#This Row],[signup_date]],subscriptions[[#This Row],[churn_date]],"M"), DATEDIF(subscriptions[[#This Row],[signup_date]],TODAY(),"M"))</f>
        <v>44</v>
      </c>
      <c r="T574">
        <f ca="1">subscriptions[[#This Row],[monthly_revenue]]*subscriptions[[#This Row],[customer_lifetime]]</f>
        <v>17579.760000000002</v>
      </c>
      <c r="U574" t="str">
        <f>IF(subscriptions[[#This Row],[feature_usage_pct]]&lt;30,"High Risk",IF(subscriptions[[#This Row],[feature_usage_pct]]&lt;60,"Medium Risk","Low Risk"))</f>
        <v>Medium Risk</v>
      </c>
      <c r="V574">
        <f ca="1">subscriptions[[#This Row],[CLV]]/200</f>
        <v>87.898800000000008</v>
      </c>
    </row>
    <row r="575" spans="1:22" x14ac:dyDescent="0.25">
      <c r="A575" t="s">
        <v>628</v>
      </c>
      <c r="B575" t="s">
        <v>71</v>
      </c>
      <c r="C575" t="s">
        <v>19</v>
      </c>
      <c r="D575" t="s">
        <v>62</v>
      </c>
      <c r="E575" s="2" t="s">
        <v>21</v>
      </c>
      <c r="F575">
        <v>78</v>
      </c>
      <c r="G575">
        <v>6262.45</v>
      </c>
      <c r="H575" t="s">
        <v>60</v>
      </c>
      <c r="I575" t="s">
        <v>23</v>
      </c>
      <c r="J575" s="1">
        <v>45204</v>
      </c>
      <c r="K575" t="s">
        <v>26</v>
      </c>
      <c r="N575">
        <v>1</v>
      </c>
      <c r="O575">
        <v>9</v>
      </c>
      <c r="P575">
        <v>50</v>
      </c>
      <c r="Q575" t="s">
        <v>24</v>
      </c>
      <c r="R575">
        <f>IF(subscriptions[[#This Row],[churned]]="Yes",1,0)</f>
        <v>0</v>
      </c>
      <c r="S575">
        <f ca="1">IF(subscriptions[[#This Row],[churn_flag]]=1, DATEDIF(subscriptions[[#This Row],[signup_date]],subscriptions[[#This Row],[churn_date]],"M"), DATEDIF(subscriptions[[#This Row],[signup_date]],TODAY(),"M"))</f>
        <v>31</v>
      </c>
      <c r="T575">
        <f ca="1">subscriptions[[#This Row],[monthly_revenue]]*subscriptions[[#This Row],[customer_lifetime]]</f>
        <v>194135.94999999998</v>
      </c>
      <c r="U575" t="str">
        <f>IF(subscriptions[[#This Row],[feature_usage_pct]]&lt;30,"High Risk",IF(subscriptions[[#This Row],[feature_usage_pct]]&lt;60,"Medium Risk","Low Risk"))</f>
        <v>Medium Risk</v>
      </c>
      <c r="V575">
        <f ca="1">subscriptions[[#This Row],[CLV]]/200</f>
        <v>970.6797499999999</v>
      </c>
    </row>
    <row r="576" spans="1:22" x14ac:dyDescent="0.25">
      <c r="A576" t="s">
        <v>629</v>
      </c>
      <c r="B576" t="s">
        <v>36</v>
      </c>
      <c r="C576" t="s">
        <v>28</v>
      </c>
      <c r="D576" t="s">
        <v>79</v>
      </c>
      <c r="E576" s="2" t="s">
        <v>21</v>
      </c>
      <c r="F576">
        <v>38</v>
      </c>
      <c r="G576">
        <v>1107.93</v>
      </c>
      <c r="H576" t="s">
        <v>43</v>
      </c>
      <c r="I576" t="s">
        <v>23</v>
      </c>
      <c r="J576" s="1">
        <v>45970</v>
      </c>
      <c r="K576" t="s">
        <v>26</v>
      </c>
      <c r="N576">
        <v>11</v>
      </c>
      <c r="O576">
        <v>8</v>
      </c>
      <c r="P576">
        <v>26</v>
      </c>
      <c r="Q576" t="s">
        <v>26</v>
      </c>
      <c r="R576">
        <f>IF(subscriptions[[#This Row],[churned]]="Yes",1,0)</f>
        <v>0</v>
      </c>
      <c r="S576">
        <f ca="1">IF(subscriptions[[#This Row],[churn_flag]]=1, DATEDIF(subscriptions[[#This Row],[signup_date]],subscriptions[[#This Row],[churn_date]],"M"), DATEDIF(subscriptions[[#This Row],[signup_date]],TODAY(),"M"))</f>
        <v>6</v>
      </c>
      <c r="T576">
        <f ca="1">subscriptions[[#This Row],[monthly_revenue]]*subscriptions[[#This Row],[customer_lifetime]]</f>
        <v>6647.58</v>
      </c>
      <c r="U576" t="str">
        <f>IF(subscriptions[[#This Row],[feature_usage_pct]]&lt;30,"High Risk",IF(subscriptions[[#This Row],[feature_usage_pct]]&lt;60,"Medium Risk","Low Risk"))</f>
        <v>High Risk</v>
      </c>
      <c r="V576">
        <f ca="1">subscriptions[[#This Row],[CLV]]/200</f>
        <v>33.237899999999996</v>
      </c>
    </row>
    <row r="577" spans="1:22" x14ac:dyDescent="0.25">
      <c r="A577" t="s">
        <v>630</v>
      </c>
      <c r="B577" t="s">
        <v>31</v>
      </c>
      <c r="C577" t="s">
        <v>28</v>
      </c>
      <c r="D577" t="s">
        <v>40</v>
      </c>
      <c r="E577" s="2" t="s">
        <v>664</v>
      </c>
      <c r="F577">
        <v>4</v>
      </c>
      <c r="G577">
        <v>35.74</v>
      </c>
      <c r="H577" t="s">
        <v>34</v>
      </c>
      <c r="I577" t="s">
        <v>23</v>
      </c>
      <c r="J577" s="1">
        <v>45438</v>
      </c>
      <c r="K577" t="s">
        <v>24</v>
      </c>
      <c r="L577" s="1">
        <v>45457</v>
      </c>
      <c r="M577" t="s">
        <v>25</v>
      </c>
      <c r="N577">
        <v>1</v>
      </c>
      <c r="O577">
        <v>5</v>
      </c>
      <c r="P577">
        <v>35</v>
      </c>
      <c r="Q577" t="s">
        <v>26</v>
      </c>
      <c r="R577">
        <f>IF(subscriptions[[#This Row],[churned]]="Yes",1,0)</f>
        <v>1</v>
      </c>
      <c r="S577">
        <f ca="1">IF(subscriptions[[#This Row],[churn_flag]]=1, DATEDIF(subscriptions[[#This Row],[signup_date]],subscriptions[[#This Row],[churn_date]],"M"), DATEDIF(subscriptions[[#This Row],[signup_date]],TODAY(),"M"))</f>
        <v>0</v>
      </c>
      <c r="T577">
        <f ca="1">subscriptions[[#This Row],[monthly_revenue]]*subscriptions[[#This Row],[customer_lifetime]]</f>
        <v>0</v>
      </c>
      <c r="U577" t="str">
        <f>IF(subscriptions[[#This Row],[feature_usage_pct]]&lt;30,"High Risk",IF(subscriptions[[#This Row],[feature_usage_pct]]&lt;60,"Medium Risk","Low Risk"))</f>
        <v>Medium Risk</v>
      </c>
      <c r="V577">
        <f ca="1">subscriptions[[#This Row],[CLV]]/200</f>
        <v>0</v>
      </c>
    </row>
    <row r="578" spans="1:22" x14ac:dyDescent="0.25">
      <c r="A578" t="s">
        <v>631</v>
      </c>
      <c r="B578" t="s">
        <v>31</v>
      </c>
      <c r="C578" t="s">
        <v>28</v>
      </c>
      <c r="D578" t="s">
        <v>32</v>
      </c>
      <c r="E578" s="2" t="s">
        <v>45</v>
      </c>
      <c r="F578">
        <v>123</v>
      </c>
      <c r="G578">
        <v>475.74</v>
      </c>
      <c r="H578" t="s">
        <v>60</v>
      </c>
      <c r="I578" t="s">
        <v>23</v>
      </c>
      <c r="J578" s="1">
        <v>44791</v>
      </c>
      <c r="K578" t="s">
        <v>24</v>
      </c>
      <c r="L578" s="1">
        <v>45168</v>
      </c>
      <c r="M578" t="s">
        <v>25</v>
      </c>
      <c r="N578">
        <v>5</v>
      </c>
      <c r="O578">
        <v>3</v>
      </c>
      <c r="P578">
        <v>22</v>
      </c>
      <c r="Q578" t="s">
        <v>26</v>
      </c>
      <c r="R578">
        <f>IF(subscriptions[[#This Row],[churned]]="Yes",1,0)</f>
        <v>1</v>
      </c>
      <c r="S578">
        <f ca="1">IF(subscriptions[[#This Row],[churn_flag]]=1, DATEDIF(subscriptions[[#This Row],[signup_date]],subscriptions[[#This Row],[churn_date]],"M"), DATEDIF(subscriptions[[#This Row],[signup_date]],TODAY(),"M"))</f>
        <v>12</v>
      </c>
      <c r="T578">
        <f ca="1">subscriptions[[#This Row],[monthly_revenue]]*subscriptions[[#This Row],[customer_lifetime]]</f>
        <v>5708.88</v>
      </c>
      <c r="U578" t="str">
        <f>IF(subscriptions[[#This Row],[feature_usage_pct]]&lt;30,"High Risk",IF(subscriptions[[#This Row],[feature_usage_pct]]&lt;60,"Medium Risk","Low Risk"))</f>
        <v>High Risk</v>
      </c>
      <c r="V578">
        <f ca="1">subscriptions[[#This Row],[CLV]]/200</f>
        <v>28.5444</v>
      </c>
    </row>
    <row r="579" spans="1:22" x14ac:dyDescent="0.25">
      <c r="A579" t="s">
        <v>632</v>
      </c>
      <c r="B579" t="s">
        <v>18</v>
      </c>
      <c r="C579" t="s">
        <v>19</v>
      </c>
      <c r="D579" t="s">
        <v>62</v>
      </c>
      <c r="E579" s="2" t="s">
        <v>33</v>
      </c>
      <c r="F579">
        <v>74</v>
      </c>
      <c r="G579">
        <v>944.05</v>
      </c>
      <c r="H579" t="s">
        <v>22</v>
      </c>
      <c r="I579" t="s">
        <v>23</v>
      </c>
      <c r="J579" s="1">
        <v>45359</v>
      </c>
      <c r="K579" t="s">
        <v>24</v>
      </c>
      <c r="L579" s="1">
        <v>45956</v>
      </c>
      <c r="M579" t="s">
        <v>82</v>
      </c>
      <c r="N579">
        <v>9</v>
      </c>
      <c r="O579">
        <v>3</v>
      </c>
      <c r="P579">
        <v>38</v>
      </c>
      <c r="Q579" t="s">
        <v>26</v>
      </c>
      <c r="R579">
        <f>IF(subscriptions[[#This Row],[churned]]="Yes",1,0)</f>
        <v>1</v>
      </c>
      <c r="S579">
        <f ca="1">IF(subscriptions[[#This Row],[churn_flag]]=1, DATEDIF(subscriptions[[#This Row],[signup_date]],subscriptions[[#This Row],[churn_date]],"M"), DATEDIF(subscriptions[[#This Row],[signup_date]],TODAY(),"M"))</f>
        <v>19</v>
      </c>
      <c r="T579">
        <f ca="1">subscriptions[[#This Row],[monthly_revenue]]*subscriptions[[#This Row],[customer_lifetime]]</f>
        <v>17936.95</v>
      </c>
      <c r="U579" t="str">
        <f>IF(subscriptions[[#This Row],[feature_usage_pct]]&lt;30,"High Risk",IF(subscriptions[[#This Row],[feature_usage_pct]]&lt;60,"Medium Risk","Low Risk"))</f>
        <v>Medium Risk</v>
      </c>
      <c r="V579">
        <f ca="1">subscriptions[[#This Row],[CLV]]/200</f>
        <v>89.684750000000008</v>
      </c>
    </row>
    <row r="580" spans="1:22" x14ac:dyDescent="0.25">
      <c r="A580" t="s">
        <v>633</v>
      </c>
      <c r="B580" t="s">
        <v>18</v>
      </c>
      <c r="C580" t="s">
        <v>19</v>
      </c>
      <c r="D580" t="s">
        <v>32</v>
      </c>
      <c r="E580" s="2" t="s">
        <v>663</v>
      </c>
      <c r="F580">
        <v>9</v>
      </c>
      <c r="G580">
        <v>173.8</v>
      </c>
      <c r="H580" t="s">
        <v>29</v>
      </c>
      <c r="I580" t="s">
        <v>23</v>
      </c>
      <c r="J580" s="1">
        <v>45922</v>
      </c>
      <c r="K580" t="s">
        <v>26</v>
      </c>
      <c r="N580">
        <v>8</v>
      </c>
      <c r="O580">
        <v>8</v>
      </c>
      <c r="P580">
        <v>74</v>
      </c>
      <c r="Q580" t="s">
        <v>26</v>
      </c>
      <c r="R580">
        <f>IF(subscriptions[[#This Row],[churned]]="Yes",1,0)</f>
        <v>0</v>
      </c>
      <c r="S580">
        <f ca="1">IF(subscriptions[[#This Row],[churn_flag]]=1, DATEDIF(subscriptions[[#This Row],[signup_date]],subscriptions[[#This Row],[churn_date]],"M"), DATEDIF(subscriptions[[#This Row],[signup_date]],TODAY(),"M"))</f>
        <v>7</v>
      </c>
      <c r="T580">
        <f ca="1">subscriptions[[#This Row],[monthly_revenue]]*subscriptions[[#This Row],[customer_lifetime]]</f>
        <v>1216.6000000000001</v>
      </c>
      <c r="U580" t="str">
        <f>IF(subscriptions[[#This Row],[feature_usage_pct]]&lt;30,"High Risk",IF(subscriptions[[#This Row],[feature_usage_pct]]&lt;60,"Medium Risk","Low Risk"))</f>
        <v>Low Risk</v>
      </c>
      <c r="V580">
        <f ca="1">subscriptions[[#This Row],[CLV]]/200</f>
        <v>6.0830000000000011</v>
      </c>
    </row>
    <row r="581" spans="1:22" x14ac:dyDescent="0.25">
      <c r="A581" t="s">
        <v>634</v>
      </c>
      <c r="B581" t="s">
        <v>18</v>
      </c>
      <c r="C581" t="s">
        <v>19</v>
      </c>
      <c r="D581" t="s">
        <v>62</v>
      </c>
      <c r="E581" s="2" t="s">
        <v>45</v>
      </c>
      <c r="F581">
        <v>33</v>
      </c>
      <c r="G581">
        <v>458.2</v>
      </c>
      <c r="H581" t="s">
        <v>43</v>
      </c>
      <c r="I581" t="s">
        <v>23</v>
      </c>
      <c r="J581" s="1">
        <v>45371</v>
      </c>
      <c r="K581" t="s">
        <v>24</v>
      </c>
      <c r="L581" s="1">
        <v>45565</v>
      </c>
      <c r="M581" t="s">
        <v>25</v>
      </c>
      <c r="N581">
        <v>13</v>
      </c>
      <c r="O581">
        <v>2</v>
      </c>
      <c r="P581">
        <v>39</v>
      </c>
      <c r="Q581" t="s">
        <v>26</v>
      </c>
      <c r="R581">
        <f>IF(subscriptions[[#This Row],[churned]]="Yes",1,0)</f>
        <v>1</v>
      </c>
      <c r="S581">
        <f ca="1">IF(subscriptions[[#This Row],[churn_flag]]=1, DATEDIF(subscriptions[[#This Row],[signup_date]],subscriptions[[#This Row],[churn_date]],"M"), DATEDIF(subscriptions[[#This Row],[signup_date]],TODAY(),"M"))</f>
        <v>6</v>
      </c>
      <c r="T581">
        <f ca="1">subscriptions[[#This Row],[monthly_revenue]]*subscriptions[[#This Row],[customer_lifetime]]</f>
        <v>2749.2</v>
      </c>
      <c r="U581" t="str">
        <f>IF(subscriptions[[#This Row],[feature_usage_pct]]&lt;30,"High Risk",IF(subscriptions[[#This Row],[feature_usage_pct]]&lt;60,"Medium Risk","Low Risk"))</f>
        <v>Medium Risk</v>
      </c>
      <c r="V581">
        <f ca="1">subscriptions[[#This Row],[CLV]]/200</f>
        <v>13.745999999999999</v>
      </c>
    </row>
    <row r="582" spans="1:22" x14ac:dyDescent="0.25">
      <c r="A582" t="s">
        <v>635</v>
      </c>
      <c r="B582" t="s">
        <v>36</v>
      </c>
      <c r="C582" t="s">
        <v>19</v>
      </c>
      <c r="D582" t="s">
        <v>42</v>
      </c>
      <c r="E582" s="2" t="s">
        <v>45</v>
      </c>
      <c r="F582">
        <v>105</v>
      </c>
      <c r="G582">
        <v>3303.4</v>
      </c>
      <c r="H582" t="s">
        <v>29</v>
      </c>
      <c r="I582" t="s">
        <v>55</v>
      </c>
      <c r="J582" s="1">
        <v>45606</v>
      </c>
      <c r="K582" t="s">
        <v>26</v>
      </c>
      <c r="N582">
        <v>0</v>
      </c>
      <c r="O582">
        <v>8</v>
      </c>
      <c r="P582">
        <v>75</v>
      </c>
      <c r="Q582" t="s">
        <v>24</v>
      </c>
      <c r="R582">
        <f>IF(subscriptions[[#This Row],[churned]]="Yes",1,0)</f>
        <v>0</v>
      </c>
      <c r="S582">
        <f ca="1">IF(subscriptions[[#This Row],[churn_flag]]=1, DATEDIF(subscriptions[[#This Row],[signup_date]],subscriptions[[#This Row],[churn_date]],"M"), DATEDIF(subscriptions[[#This Row],[signup_date]],TODAY(),"M"))</f>
        <v>18</v>
      </c>
      <c r="T582">
        <f ca="1">subscriptions[[#This Row],[monthly_revenue]]*subscriptions[[#This Row],[customer_lifetime]]</f>
        <v>59461.200000000004</v>
      </c>
      <c r="U582" t="str">
        <f>IF(subscriptions[[#This Row],[feature_usage_pct]]&lt;30,"High Risk",IF(subscriptions[[#This Row],[feature_usage_pct]]&lt;60,"Medium Risk","Low Risk"))</f>
        <v>Low Risk</v>
      </c>
      <c r="V582">
        <f ca="1">subscriptions[[#This Row],[CLV]]/200</f>
        <v>297.30600000000004</v>
      </c>
    </row>
    <row r="583" spans="1:22" x14ac:dyDescent="0.25">
      <c r="A583" t="s">
        <v>636</v>
      </c>
      <c r="B583" t="s">
        <v>18</v>
      </c>
      <c r="C583" t="s">
        <v>19</v>
      </c>
      <c r="D583" t="s">
        <v>79</v>
      </c>
      <c r="E583" s="2" t="s">
        <v>663</v>
      </c>
      <c r="F583">
        <v>35</v>
      </c>
      <c r="G583">
        <v>481.9</v>
      </c>
      <c r="H583" t="s">
        <v>34</v>
      </c>
      <c r="I583" t="s">
        <v>23</v>
      </c>
      <c r="J583" s="1">
        <v>45249</v>
      </c>
      <c r="K583" t="s">
        <v>24</v>
      </c>
      <c r="L583" s="1">
        <v>45854</v>
      </c>
      <c r="M583" t="s">
        <v>46</v>
      </c>
      <c r="N583">
        <v>0</v>
      </c>
      <c r="O583">
        <v>2</v>
      </c>
      <c r="P583">
        <v>32</v>
      </c>
      <c r="Q583" t="s">
        <v>26</v>
      </c>
      <c r="R583">
        <f>IF(subscriptions[[#This Row],[churned]]="Yes",1,0)</f>
        <v>1</v>
      </c>
      <c r="S583">
        <f ca="1">IF(subscriptions[[#This Row],[churn_flag]]=1, DATEDIF(subscriptions[[#This Row],[signup_date]],subscriptions[[#This Row],[churn_date]],"M"), DATEDIF(subscriptions[[#This Row],[signup_date]],TODAY(),"M"))</f>
        <v>19</v>
      </c>
      <c r="T583">
        <f ca="1">subscriptions[[#This Row],[monthly_revenue]]*subscriptions[[#This Row],[customer_lifetime]]</f>
        <v>9156.1</v>
      </c>
      <c r="U583" t="str">
        <f>IF(subscriptions[[#This Row],[feature_usage_pct]]&lt;30,"High Risk",IF(subscriptions[[#This Row],[feature_usage_pct]]&lt;60,"Medium Risk","Low Risk"))</f>
        <v>Medium Risk</v>
      </c>
      <c r="V583">
        <f ca="1">subscriptions[[#This Row],[CLV]]/200</f>
        <v>45.780500000000004</v>
      </c>
    </row>
    <row r="584" spans="1:22" x14ac:dyDescent="0.25">
      <c r="A584" t="s">
        <v>637</v>
      </c>
      <c r="B584" t="s">
        <v>18</v>
      </c>
      <c r="C584" t="s">
        <v>19</v>
      </c>
      <c r="D584" t="s">
        <v>32</v>
      </c>
      <c r="E584" s="2" t="s">
        <v>664</v>
      </c>
      <c r="F584">
        <v>4</v>
      </c>
      <c r="G584">
        <v>114.55</v>
      </c>
      <c r="H584" t="s">
        <v>98</v>
      </c>
      <c r="I584" t="s">
        <v>23</v>
      </c>
      <c r="J584" s="1">
        <v>45825</v>
      </c>
      <c r="K584" t="s">
        <v>24</v>
      </c>
      <c r="L584" s="1">
        <v>45827</v>
      </c>
      <c r="M584" t="s">
        <v>25</v>
      </c>
      <c r="N584">
        <v>3</v>
      </c>
      <c r="O584">
        <v>5</v>
      </c>
      <c r="P584">
        <v>50</v>
      </c>
      <c r="Q584" t="s">
        <v>26</v>
      </c>
      <c r="R584">
        <f>IF(subscriptions[[#This Row],[churned]]="Yes",1,0)</f>
        <v>1</v>
      </c>
      <c r="S584">
        <f ca="1">IF(subscriptions[[#This Row],[churn_flag]]=1, DATEDIF(subscriptions[[#This Row],[signup_date]],subscriptions[[#This Row],[churn_date]],"M"), DATEDIF(subscriptions[[#This Row],[signup_date]],TODAY(),"M"))</f>
        <v>0</v>
      </c>
      <c r="T584">
        <f ca="1">subscriptions[[#This Row],[monthly_revenue]]*subscriptions[[#This Row],[customer_lifetime]]</f>
        <v>0</v>
      </c>
      <c r="U584" t="str">
        <f>IF(subscriptions[[#This Row],[feature_usage_pct]]&lt;30,"High Risk",IF(subscriptions[[#This Row],[feature_usage_pct]]&lt;60,"Medium Risk","Low Risk"))</f>
        <v>Medium Risk</v>
      </c>
      <c r="V584">
        <f ca="1">subscriptions[[#This Row],[CLV]]/200</f>
        <v>0</v>
      </c>
    </row>
    <row r="585" spans="1:22" x14ac:dyDescent="0.25">
      <c r="A585" t="s">
        <v>638</v>
      </c>
      <c r="B585" t="s">
        <v>36</v>
      </c>
      <c r="C585" t="s">
        <v>19</v>
      </c>
      <c r="D585" t="s">
        <v>49</v>
      </c>
      <c r="E585" s="2" t="s">
        <v>663</v>
      </c>
      <c r="F585">
        <v>18</v>
      </c>
      <c r="G585">
        <v>706.45</v>
      </c>
      <c r="H585" t="s">
        <v>22</v>
      </c>
      <c r="I585" t="s">
        <v>23</v>
      </c>
      <c r="J585" s="1">
        <v>45956</v>
      </c>
      <c r="K585" t="s">
        <v>26</v>
      </c>
      <c r="N585">
        <v>0</v>
      </c>
      <c r="O585">
        <v>1</v>
      </c>
      <c r="P585">
        <v>37</v>
      </c>
      <c r="Q585" t="s">
        <v>26</v>
      </c>
      <c r="R585">
        <f>IF(subscriptions[[#This Row],[churned]]="Yes",1,0)</f>
        <v>0</v>
      </c>
      <c r="S585">
        <f ca="1">IF(subscriptions[[#This Row],[churn_flag]]=1, DATEDIF(subscriptions[[#This Row],[signup_date]],subscriptions[[#This Row],[churn_date]],"M"), DATEDIF(subscriptions[[#This Row],[signup_date]],TODAY(),"M"))</f>
        <v>6</v>
      </c>
      <c r="T585">
        <f ca="1">subscriptions[[#This Row],[monthly_revenue]]*subscriptions[[#This Row],[customer_lifetime]]</f>
        <v>4238.7000000000007</v>
      </c>
      <c r="U585" t="str">
        <f>IF(subscriptions[[#This Row],[feature_usage_pct]]&lt;30,"High Risk",IF(subscriptions[[#This Row],[feature_usage_pct]]&lt;60,"Medium Risk","Low Risk"))</f>
        <v>Medium Risk</v>
      </c>
      <c r="V585">
        <f ca="1">subscriptions[[#This Row],[CLV]]/200</f>
        <v>21.193500000000004</v>
      </c>
    </row>
    <row r="586" spans="1:22" x14ac:dyDescent="0.25">
      <c r="A586" t="s">
        <v>639</v>
      </c>
      <c r="B586" t="s">
        <v>36</v>
      </c>
      <c r="C586" t="s">
        <v>19</v>
      </c>
      <c r="D586" t="s">
        <v>42</v>
      </c>
      <c r="E586" s="2" t="s">
        <v>663</v>
      </c>
      <c r="F586">
        <v>5</v>
      </c>
      <c r="G586">
        <v>318.39999999999998</v>
      </c>
      <c r="H586" t="s">
        <v>29</v>
      </c>
      <c r="I586" t="s">
        <v>23</v>
      </c>
      <c r="J586" s="1">
        <v>45246</v>
      </c>
      <c r="K586" t="s">
        <v>26</v>
      </c>
      <c r="N586">
        <v>0</v>
      </c>
      <c r="O586">
        <v>4</v>
      </c>
      <c r="P586">
        <v>77</v>
      </c>
      <c r="Q586" t="s">
        <v>24</v>
      </c>
      <c r="R586">
        <f>IF(subscriptions[[#This Row],[churned]]="Yes",1,0)</f>
        <v>0</v>
      </c>
      <c r="S586">
        <f ca="1">IF(subscriptions[[#This Row],[churn_flag]]=1, DATEDIF(subscriptions[[#This Row],[signup_date]],subscriptions[[#This Row],[churn_date]],"M"), DATEDIF(subscriptions[[#This Row],[signup_date]],TODAY(),"M"))</f>
        <v>29</v>
      </c>
      <c r="T586">
        <f ca="1">subscriptions[[#This Row],[monthly_revenue]]*subscriptions[[#This Row],[customer_lifetime]]</f>
        <v>9233.5999999999985</v>
      </c>
      <c r="U586" t="str">
        <f>IF(subscriptions[[#This Row],[feature_usage_pct]]&lt;30,"High Risk",IF(subscriptions[[#This Row],[feature_usage_pct]]&lt;60,"Medium Risk","Low Risk"))</f>
        <v>Low Risk</v>
      </c>
      <c r="V586">
        <f ca="1">subscriptions[[#This Row],[CLV]]/200</f>
        <v>46.167999999999992</v>
      </c>
    </row>
    <row r="587" spans="1:22" x14ac:dyDescent="0.25">
      <c r="A587" t="s">
        <v>640</v>
      </c>
      <c r="B587" t="s">
        <v>31</v>
      </c>
      <c r="C587" t="s">
        <v>19</v>
      </c>
      <c r="D587" t="s">
        <v>52</v>
      </c>
      <c r="E587" s="2" t="s">
        <v>45</v>
      </c>
      <c r="F587">
        <v>116</v>
      </c>
      <c r="G587">
        <v>529.25</v>
      </c>
      <c r="H587" t="s">
        <v>60</v>
      </c>
      <c r="I587" t="s">
        <v>23</v>
      </c>
      <c r="J587" s="1">
        <v>45941</v>
      </c>
      <c r="K587" t="s">
        <v>26</v>
      </c>
      <c r="N587">
        <v>6</v>
      </c>
      <c r="O587">
        <v>3</v>
      </c>
      <c r="P587">
        <v>68</v>
      </c>
      <c r="Q587" t="s">
        <v>26</v>
      </c>
      <c r="R587">
        <f>IF(subscriptions[[#This Row],[churned]]="Yes",1,0)</f>
        <v>0</v>
      </c>
      <c r="S587">
        <f ca="1">IF(subscriptions[[#This Row],[churn_flag]]=1, DATEDIF(subscriptions[[#This Row],[signup_date]],subscriptions[[#This Row],[churn_date]],"M"), DATEDIF(subscriptions[[#This Row],[signup_date]],TODAY(),"M"))</f>
        <v>7</v>
      </c>
      <c r="T587">
        <f ca="1">subscriptions[[#This Row],[monthly_revenue]]*subscriptions[[#This Row],[customer_lifetime]]</f>
        <v>3704.75</v>
      </c>
      <c r="U587" t="str">
        <f>IF(subscriptions[[#This Row],[feature_usage_pct]]&lt;30,"High Risk",IF(subscriptions[[#This Row],[feature_usage_pct]]&lt;60,"Medium Risk","Low Risk"))</f>
        <v>Low Risk</v>
      </c>
      <c r="V587">
        <f ca="1">subscriptions[[#This Row],[CLV]]/200</f>
        <v>18.52375</v>
      </c>
    </row>
    <row r="588" spans="1:22" x14ac:dyDescent="0.25">
      <c r="A588" t="s">
        <v>641</v>
      </c>
      <c r="B588" t="s">
        <v>36</v>
      </c>
      <c r="C588" t="s">
        <v>19</v>
      </c>
      <c r="D588" t="s">
        <v>42</v>
      </c>
      <c r="E588" s="2" t="s">
        <v>664</v>
      </c>
      <c r="F588">
        <v>1</v>
      </c>
      <c r="G588">
        <v>199</v>
      </c>
      <c r="H588" t="s">
        <v>43</v>
      </c>
      <c r="I588" t="s">
        <v>69</v>
      </c>
      <c r="J588" s="1">
        <v>44808</v>
      </c>
      <c r="K588" t="s">
        <v>26</v>
      </c>
      <c r="N588">
        <v>2</v>
      </c>
      <c r="O588">
        <v>6</v>
      </c>
      <c r="P588">
        <v>84</v>
      </c>
      <c r="Q588" t="s">
        <v>24</v>
      </c>
      <c r="R588">
        <f>IF(subscriptions[[#This Row],[churned]]="Yes",1,0)</f>
        <v>0</v>
      </c>
      <c r="S588">
        <f ca="1">IF(subscriptions[[#This Row],[churn_flag]]=1, DATEDIF(subscriptions[[#This Row],[signup_date]],subscriptions[[#This Row],[churn_date]],"M"), DATEDIF(subscriptions[[#This Row],[signup_date]],TODAY(),"M"))</f>
        <v>44</v>
      </c>
      <c r="T588">
        <f ca="1">subscriptions[[#This Row],[monthly_revenue]]*subscriptions[[#This Row],[customer_lifetime]]</f>
        <v>8756</v>
      </c>
      <c r="U588" t="str">
        <f>IF(subscriptions[[#This Row],[feature_usage_pct]]&lt;30,"High Risk",IF(subscriptions[[#This Row],[feature_usage_pct]]&lt;60,"Medium Risk","Low Risk"))</f>
        <v>Low Risk</v>
      </c>
      <c r="V588">
        <f ca="1">subscriptions[[#This Row],[CLV]]/200</f>
        <v>43.78</v>
      </c>
    </row>
    <row r="589" spans="1:22" x14ac:dyDescent="0.25">
      <c r="A589" t="s">
        <v>642</v>
      </c>
      <c r="B589" t="s">
        <v>36</v>
      </c>
      <c r="C589" t="s">
        <v>19</v>
      </c>
      <c r="D589" t="s">
        <v>20</v>
      </c>
      <c r="E589" s="2" t="s">
        <v>663</v>
      </c>
      <c r="F589">
        <v>33</v>
      </c>
      <c r="G589">
        <v>1154.2</v>
      </c>
      <c r="H589" t="s">
        <v>22</v>
      </c>
      <c r="I589" t="s">
        <v>69</v>
      </c>
      <c r="J589" s="1">
        <v>44943</v>
      </c>
      <c r="K589" t="s">
        <v>24</v>
      </c>
      <c r="L589" s="1">
        <v>45857</v>
      </c>
      <c r="M589" t="s">
        <v>50</v>
      </c>
      <c r="N589">
        <v>1</v>
      </c>
      <c r="O589">
        <v>3</v>
      </c>
      <c r="P589">
        <v>37</v>
      </c>
      <c r="Q589" t="s">
        <v>26</v>
      </c>
      <c r="R589">
        <f>IF(subscriptions[[#This Row],[churned]]="Yes",1,0)</f>
        <v>1</v>
      </c>
      <c r="S589">
        <f ca="1">IF(subscriptions[[#This Row],[churn_flag]]=1, DATEDIF(subscriptions[[#This Row],[signup_date]],subscriptions[[#This Row],[churn_date]],"M"), DATEDIF(subscriptions[[#This Row],[signup_date]],TODAY(),"M"))</f>
        <v>30</v>
      </c>
      <c r="T589">
        <f ca="1">subscriptions[[#This Row],[monthly_revenue]]*subscriptions[[#This Row],[customer_lifetime]]</f>
        <v>34626</v>
      </c>
      <c r="U589" t="str">
        <f>IF(subscriptions[[#This Row],[feature_usage_pct]]&lt;30,"High Risk",IF(subscriptions[[#This Row],[feature_usage_pct]]&lt;60,"Medium Risk","Low Risk"))</f>
        <v>Medium Risk</v>
      </c>
      <c r="V589">
        <f ca="1">subscriptions[[#This Row],[CLV]]/200</f>
        <v>173.13</v>
      </c>
    </row>
    <row r="590" spans="1:22" x14ac:dyDescent="0.25">
      <c r="A590" t="s">
        <v>643</v>
      </c>
      <c r="B590" t="s">
        <v>31</v>
      </c>
      <c r="C590" t="s">
        <v>28</v>
      </c>
      <c r="D590" t="s">
        <v>52</v>
      </c>
      <c r="E590" s="2" t="s">
        <v>664</v>
      </c>
      <c r="F590">
        <v>7</v>
      </c>
      <c r="G590">
        <v>46.83</v>
      </c>
      <c r="H590" t="s">
        <v>43</v>
      </c>
      <c r="I590" t="s">
        <v>69</v>
      </c>
      <c r="J590" s="1">
        <v>45251</v>
      </c>
      <c r="K590" t="s">
        <v>24</v>
      </c>
      <c r="L590" s="1">
        <v>45481</v>
      </c>
      <c r="M590" t="s">
        <v>53</v>
      </c>
      <c r="N590">
        <v>11</v>
      </c>
      <c r="O590">
        <v>1</v>
      </c>
      <c r="P590">
        <v>18</v>
      </c>
      <c r="Q590" t="s">
        <v>26</v>
      </c>
      <c r="R590">
        <f>IF(subscriptions[[#This Row],[churned]]="Yes",1,0)</f>
        <v>1</v>
      </c>
      <c r="S590">
        <f ca="1">IF(subscriptions[[#This Row],[churn_flag]]=1, DATEDIF(subscriptions[[#This Row],[signup_date]],subscriptions[[#This Row],[churn_date]],"M"), DATEDIF(subscriptions[[#This Row],[signup_date]],TODAY(),"M"))</f>
        <v>7</v>
      </c>
      <c r="T590">
        <f ca="1">subscriptions[[#This Row],[monthly_revenue]]*subscriptions[[#This Row],[customer_lifetime]]</f>
        <v>327.81</v>
      </c>
      <c r="U590" t="str">
        <f>IF(subscriptions[[#This Row],[feature_usage_pct]]&lt;30,"High Risk",IF(subscriptions[[#This Row],[feature_usage_pct]]&lt;60,"Medium Risk","Low Risk"))</f>
        <v>High Risk</v>
      </c>
      <c r="V590">
        <f ca="1">subscriptions[[#This Row],[CLV]]/200</f>
        <v>1.6390500000000001</v>
      </c>
    </row>
    <row r="591" spans="1:22" x14ac:dyDescent="0.25">
      <c r="A591" t="s">
        <v>644</v>
      </c>
      <c r="B591" t="s">
        <v>31</v>
      </c>
      <c r="C591" t="s">
        <v>19</v>
      </c>
      <c r="D591" t="s">
        <v>79</v>
      </c>
      <c r="E591" s="2" t="s">
        <v>663</v>
      </c>
      <c r="F591">
        <v>21</v>
      </c>
      <c r="G591">
        <v>116</v>
      </c>
      <c r="H591" t="s">
        <v>22</v>
      </c>
      <c r="I591" t="s">
        <v>69</v>
      </c>
      <c r="J591" s="1">
        <v>45189</v>
      </c>
      <c r="K591" t="s">
        <v>24</v>
      </c>
      <c r="L591" s="1">
        <v>45251</v>
      </c>
      <c r="M591" t="s">
        <v>63</v>
      </c>
      <c r="N591">
        <v>11</v>
      </c>
      <c r="O591">
        <v>3</v>
      </c>
      <c r="P591">
        <v>16</v>
      </c>
      <c r="Q591" t="s">
        <v>26</v>
      </c>
      <c r="R591">
        <f>IF(subscriptions[[#This Row],[churned]]="Yes",1,0)</f>
        <v>1</v>
      </c>
      <c r="S591">
        <f ca="1">IF(subscriptions[[#This Row],[churn_flag]]=1, DATEDIF(subscriptions[[#This Row],[signup_date]],subscriptions[[#This Row],[churn_date]],"M"), DATEDIF(subscriptions[[#This Row],[signup_date]],TODAY(),"M"))</f>
        <v>2</v>
      </c>
      <c r="T591">
        <f ca="1">subscriptions[[#This Row],[monthly_revenue]]*subscriptions[[#This Row],[customer_lifetime]]</f>
        <v>232</v>
      </c>
      <c r="U591" t="str">
        <f>IF(subscriptions[[#This Row],[feature_usage_pct]]&lt;30,"High Risk",IF(subscriptions[[#This Row],[feature_usage_pct]]&lt;60,"Medium Risk","Low Risk"))</f>
        <v>High Risk</v>
      </c>
      <c r="V591">
        <f ca="1">subscriptions[[#This Row],[CLV]]/200</f>
        <v>1.1599999999999999</v>
      </c>
    </row>
    <row r="592" spans="1:22" x14ac:dyDescent="0.25">
      <c r="A592" t="s">
        <v>645</v>
      </c>
      <c r="B592" t="s">
        <v>36</v>
      </c>
      <c r="C592" t="s">
        <v>19</v>
      </c>
      <c r="D592" t="s">
        <v>42</v>
      </c>
      <c r="E592" s="2" t="s">
        <v>663</v>
      </c>
      <c r="F592">
        <v>6</v>
      </c>
      <c r="G592">
        <v>348.25</v>
      </c>
      <c r="H592" t="s">
        <v>22</v>
      </c>
      <c r="I592" t="s">
        <v>23</v>
      </c>
      <c r="J592" s="1">
        <v>45252</v>
      </c>
      <c r="K592" t="s">
        <v>26</v>
      </c>
      <c r="N592">
        <v>1</v>
      </c>
      <c r="O592">
        <v>2</v>
      </c>
      <c r="P592">
        <v>27</v>
      </c>
      <c r="Q592" t="s">
        <v>24</v>
      </c>
      <c r="R592">
        <f>IF(subscriptions[[#This Row],[churned]]="Yes",1,0)</f>
        <v>0</v>
      </c>
      <c r="S592">
        <f ca="1">IF(subscriptions[[#This Row],[churn_flag]]=1, DATEDIF(subscriptions[[#This Row],[signup_date]],subscriptions[[#This Row],[churn_date]],"M"), DATEDIF(subscriptions[[#This Row],[signup_date]],TODAY(),"M"))</f>
        <v>29</v>
      </c>
      <c r="T592">
        <f ca="1">subscriptions[[#This Row],[monthly_revenue]]*subscriptions[[#This Row],[customer_lifetime]]</f>
        <v>10099.25</v>
      </c>
      <c r="U592" t="str">
        <f>IF(subscriptions[[#This Row],[feature_usage_pct]]&lt;30,"High Risk",IF(subscriptions[[#This Row],[feature_usage_pct]]&lt;60,"Medium Risk","Low Risk"))</f>
        <v>High Risk</v>
      </c>
      <c r="V592">
        <f ca="1">subscriptions[[#This Row],[CLV]]/200</f>
        <v>50.496250000000003</v>
      </c>
    </row>
    <row r="593" spans="1:22" x14ac:dyDescent="0.25">
      <c r="A593" t="s">
        <v>646</v>
      </c>
      <c r="B593" t="s">
        <v>18</v>
      </c>
      <c r="C593" t="s">
        <v>19</v>
      </c>
      <c r="D593" t="s">
        <v>49</v>
      </c>
      <c r="E593" s="2" t="s">
        <v>663</v>
      </c>
      <c r="F593">
        <v>6</v>
      </c>
      <c r="G593">
        <v>138.25</v>
      </c>
      <c r="H593" t="s">
        <v>34</v>
      </c>
      <c r="I593" t="s">
        <v>38</v>
      </c>
      <c r="J593" s="1">
        <v>44836</v>
      </c>
      <c r="K593" t="s">
        <v>24</v>
      </c>
      <c r="L593" s="1">
        <v>45335</v>
      </c>
      <c r="M593" t="s">
        <v>46</v>
      </c>
      <c r="N593">
        <v>5</v>
      </c>
      <c r="O593">
        <v>3</v>
      </c>
      <c r="P593">
        <v>11</v>
      </c>
      <c r="Q593" t="s">
        <v>26</v>
      </c>
      <c r="R593">
        <f>IF(subscriptions[[#This Row],[churned]]="Yes",1,0)</f>
        <v>1</v>
      </c>
      <c r="S593">
        <f ca="1">IF(subscriptions[[#This Row],[churn_flag]]=1, DATEDIF(subscriptions[[#This Row],[signup_date]],subscriptions[[#This Row],[churn_date]],"M"), DATEDIF(subscriptions[[#This Row],[signup_date]],TODAY(),"M"))</f>
        <v>16</v>
      </c>
      <c r="T593">
        <f ca="1">subscriptions[[#This Row],[monthly_revenue]]*subscriptions[[#This Row],[customer_lifetime]]</f>
        <v>2212</v>
      </c>
      <c r="U593" t="str">
        <f>IF(subscriptions[[#This Row],[feature_usage_pct]]&lt;30,"High Risk",IF(subscriptions[[#This Row],[feature_usage_pct]]&lt;60,"Medium Risk","Low Risk"))</f>
        <v>High Risk</v>
      </c>
      <c r="V593">
        <f ca="1">subscriptions[[#This Row],[CLV]]/200</f>
        <v>11.06</v>
      </c>
    </row>
    <row r="594" spans="1:22" x14ac:dyDescent="0.25">
      <c r="A594" t="s">
        <v>647</v>
      </c>
      <c r="B594" t="s">
        <v>36</v>
      </c>
      <c r="C594" t="s">
        <v>19</v>
      </c>
      <c r="D594" t="s">
        <v>37</v>
      </c>
      <c r="E594" s="2" t="s">
        <v>21</v>
      </c>
      <c r="F594">
        <v>47</v>
      </c>
      <c r="G594">
        <v>1572.1</v>
      </c>
      <c r="H594" t="s">
        <v>22</v>
      </c>
      <c r="I594" t="s">
        <v>23</v>
      </c>
      <c r="J594" s="1">
        <v>44964</v>
      </c>
      <c r="K594" t="s">
        <v>26</v>
      </c>
      <c r="N594">
        <v>1</v>
      </c>
      <c r="O594">
        <v>9</v>
      </c>
      <c r="P594">
        <v>27</v>
      </c>
      <c r="Q594" t="s">
        <v>26</v>
      </c>
      <c r="R594">
        <f>IF(subscriptions[[#This Row],[churned]]="Yes",1,0)</f>
        <v>0</v>
      </c>
      <c r="S594">
        <f ca="1">IF(subscriptions[[#This Row],[churn_flag]]=1, DATEDIF(subscriptions[[#This Row],[signup_date]],subscriptions[[#This Row],[churn_date]],"M"), DATEDIF(subscriptions[[#This Row],[signup_date]],TODAY(),"M"))</f>
        <v>39</v>
      </c>
      <c r="T594">
        <f ca="1">subscriptions[[#This Row],[monthly_revenue]]*subscriptions[[#This Row],[customer_lifetime]]</f>
        <v>61311.899999999994</v>
      </c>
      <c r="U594" t="str">
        <f>IF(subscriptions[[#This Row],[feature_usage_pct]]&lt;30,"High Risk",IF(subscriptions[[#This Row],[feature_usage_pct]]&lt;60,"Medium Risk","Low Risk"))</f>
        <v>High Risk</v>
      </c>
      <c r="V594">
        <f ca="1">subscriptions[[#This Row],[CLV]]/200</f>
        <v>306.55949999999996</v>
      </c>
    </row>
    <row r="595" spans="1:22" x14ac:dyDescent="0.25">
      <c r="A595" t="s">
        <v>648</v>
      </c>
      <c r="B595" t="s">
        <v>36</v>
      </c>
      <c r="C595" t="s">
        <v>28</v>
      </c>
      <c r="D595" t="s">
        <v>68</v>
      </c>
      <c r="E595" s="2" t="s">
        <v>21</v>
      </c>
      <c r="F595">
        <v>76</v>
      </c>
      <c r="G595">
        <v>2072.09</v>
      </c>
      <c r="H595" t="s">
        <v>22</v>
      </c>
      <c r="I595" t="s">
        <v>55</v>
      </c>
      <c r="J595" s="1">
        <v>44909</v>
      </c>
      <c r="K595" t="s">
        <v>24</v>
      </c>
      <c r="L595" s="1">
        <v>45026</v>
      </c>
      <c r="M595" t="s">
        <v>25</v>
      </c>
      <c r="N595">
        <v>4</v>
      </c>
      <c r="O595">
        <v>2</v>
      </c>
      <c r="P595">
        <v>35</v>
      </c>
      <c r="Q595" t="s">
        <v>26</v>
      </c>
      <c r="R595">
        <f>IF(subscriptions[[#This Row],[churned]]="Yes",1,0)</f>
        <v>1</v>
      </c>
      <c r="S595">
        <f ca="1">IF(subscriptions[[#This Row],[churn_flag]]=1, DATEDIF(subscriptions[[#This Row],[signup_date]],subscriptions[[#This Row],[churn_date]],"M"), DATEDIF(subscriptions[[#This Row],[signup_date]],TODAY(),"M"))</f>
        <v>3</v>
      </c>
      <c r="T595">
        <f ca="1">subscriptions[[#This Row],[monthly_revenue]]*subscriptions[[#This Row],[customer_lifetime]]</f>
        <v>6216.27</v>
      </c>
      <c r="U595" t="str">
        <f>IF(subscriptions[[#This Row],[feature_usage_pct]]&lt;30,"High Risk",IF(subscriptions[[#This Row],[feature_usage_pct]]&lt;60,"Medium Risk","Low Risk"))</f>
        <v>Medium Risk</v>
      </c>
      <c r="V595">
        <f ca="1">subscriptions[[#This Row],[CLV]]/200</f>
        <v>31.08135</v>
      </c>
    </row>
    <row r="596" spans="1:22" x14ac:dyDescent="0.25">
      <c r="A596" t="s">
        <v>649</v>
      </c>
      <c r="B596" t="s">
        <v>36</v>
      </c>
      <c r="C596" t="s">
        <v>19</v>
      </c>
      <c r="D596" t="s">
        <v>40</v>
      </c>
      <c r="E596" s="2" t="s">
        <v>663</v>
      </c>
      <c r="F596">
        <v>11</v>
      </c>
      <c r="G596">
        <v>497.5</v>
      </c>
      <c r="H596" t="s">
        <v>22</v>
      </c>
      <c r="I596" t="s">
        <v>38</v>
      </c>
      <c r="J596" s="1">
        <v>45027</v>
      </c>
      <c r="K596" t="s">
        <v>24</v>
      </c>
      <c r="L596" s="1">
        <v>45610</v>
      </c>
      <c r="M596" t="s">
        <v>82</v>
      </c>
      <c r="N596">
        <v>3</v>
      </c>
      <c r="O596">
        <v>3</v>
      </c>
      <c r="P596">
        <v>48</v>
      </c>
      <c r="Q596" t="s">
        <v>26</v>
      </c>
      <c r="R596">
        <f>IF(subscriptions[[#This Row],[churned]]="Yes",1,0)</f>
        <v>1</v>
      </c>
      <c r="S596">
        <f ca="1">IF(subscriptions[[#This Row],[churn_flag]]=1, DATEDIF(subscriptions[[#This Row],[signup_date]],subscriptions[[#This Row],[churn_date]],"M"), DATEDIF(subscriptions[[#This Row],[signup_date]],TODAY(),"M"))</f>
        <v>19</v>
      </c>
      <c r="T596">
        <f ca="1">subscriptions[[#This Row],[monthly_revenue]]*subscriptions[[#This Row],[customer_lifetime]]</f>
        <v>9452.5</v>
      </c>
      <c r="U596" t="str">
        <f>IF(subscriptions[[#This Row],[feature_usage_pct]]&lt;30,"High Risk",IF(subscriptions[[#This Row],[feature_usage_pct]]&lt;60,"Medium Risk","Low Risk"))</f>
        <v>Medium Risk</v>
      </c>
      <c r="V596">
        <f ca="1">subscriptions[[#This Row],[CLV]]/200</f>
        <v>47.262500000000003</v>
      </c>
    </row>
    <row r="597" spans="1:22" x14ac:dyDescent="0.25">
      <c r="A597" t="s">
        <v>650</v>
      </c>
      <c r="B597" t="s">
        <v>18</v>
      </c>
      <c r="C597" t="s">
        <v>28</v>
      </c>
      <c r="D597" t="s">
        <v>52</v>
      </c>
      <c r="E597" s="2" t="s">
        <v>663</v>
      </c>
      <c r="F597">
        <v>32</v>
      </c>
      <c r="G597">
        <v>379.4</v>
      </c>
      <c r="H597" t="s">
        <v>43</v>
      </c>
      <c r="I597" t="s">
        <v>23</v>
      </c>
      <c r="J597" s="1">
        <v>45631</v>
      </c>
      <c r="K597" t="s">
        <v>26</v>
      </c>
      <c r="N597">
        <v>3</v>
      </c>
      <c r="O597">
        <v>6</v>
      </c>
      <c r="P597">
        <v>65</v>
      </c>
      <c r="Q597" t="s">
        <v>24</v>
      </c>
      <c r="R597">
        <f>IF(subscriptions[[#This Row],[churned]]="Yes",1,0)</f>
        <v>0</v>
      </c>
      <c r="S597">
        <f ca="1">IF(subscriptions[[#This Row],[churn_flag]]=1, DATEDIF(subscriptions[[#This Row],[signup_date]],subscriptions[[#This Row],[churn_date]],"M"), DATEDIF(subscriptions[[#This Row],[signup_date]],TODAY(),"M"))</f>
        <v>17</v>
      </c>
      <c r="T597">
        <f ca="1">subscriptions[[#This Row],[monthly_revenue]]*subscriptions[[#This Row],[customer_lifetime]]</f>
        <v>6449.7999999999993</v>
      </c>
      <c r="U597" t="str">
        <f>IF(subscriptions[[#This Row],[feature_usage_pct]]&lt;30,"High Risk",IF(subscriptions[[#This Row],[feature_usage_pct]]&lt;60,"Medium Risk","Low Risk"))</f>
        <v>Low Risk</v>
      </c>
      <c r="V597">
        <f ca="1">subscriptions[[#This Row],[CLV]]/200</f>
        <v>32.248999999999995</v>
      </c>
    </row>
    <row r="598" spans="1:22" x14ac:dyDescent="0.25">
      <c r="A598" t="s">
        <v>651</v>
      </c>
      <c r="B598" t="s">
        <v>18</v>
      </c>
      <c r="C598" t="s">
        <v>28</v>
      </c>
      <c r="D598" t="s">
        <v>42</v>
      </c>
      <c r="E598" s="2" t="s">
        <v>45</v>
      </c>
      <c r="F598">
        <v>106</v>
      </c>
      <c r="G598">
        <v>1124.76</v>
      </c>
      <c r="H598" t="s">
        <v>29</v>
      </c>
      <c r="I598" t="s">
        <v>38</v>
      </c>
      <c r="J598" s="1">
        <v>45102</v>
      </c>
      <c r="K598" t="s">
        <v>26</v>
      </c>
      <c r="N598">
        <v>3</v>
      </c>
      <c r="O598">
        <v>3</v>
      </c>
      <c r="P598">
        <v>57</v>
      </c>
      <c r="Q598" t="s">
        <v>26</v>
      </c>
      <c r="R598">
        <f>IF(subscriptions[[#This Row],[churned]]="Yes",1,0)</f>
        <v>0</v>
      </c>
      <c r="S598">
        <f ca="1">IF(subscriptions[[#This Row],[churn_flag]]=1, DATEDIF(subscriptions[[#This Row],[signup_date]],subscriptions[[#This Row],[churn_date]],"M"), DATEDIF(subscriptions[[#This Row],[signup_date]],TODAY(),"M"))</f>
        <v>34</v>
      </c>
      <c r="T598">
        <f ca="1">subscriptions[[#This Row],[monthly_revenue]]*subscriptions[[#This Row],[customer_lifetime]]</f>
        <v>38241.839999999997</v>
      </c>
      <c r="U598" t="str">
        <f>IF(subscriptions[[#This Row],[feature_usage_pct]]&lt;30,"High Risk",IF(subscriptions[[#This Row],[feature_usage_pct]]&lt;60,"Medium Risk","Low Risk"))</f>
        <v>Medium Risk</v>
      </c>
      <c r="V598">
        <f ca="1">subscriptions[[#This Row],[CLV]]/200</f>
        <v>191.20919999999998</v>
      </c>
    </row>
    <row r="599" spans="1:22" x14ac:dyDescent="0.25">
      <c r="A599" t="s">
        <v>652</v>
      </c>
      <c r="B599" t="s">
        <v>31</v>
      </c>
      <c r="C599" t="s">
        <v>19</v>
      </c>
      <c r="D599" t="s">
        <v>42</v>
      </c>
      <c r="E599" s="2" t="s">
        <v>45</v>
      </c>
      <c r="F599">
        <v>84</v>
      </c>
      <c r="G599">
        <v>390.05</v>
      </c>
      <c r="H599" t="s">
        <v>22</v>
      </c>
      <c r="I599" t="s">
        <v>69</v>
      </c>
      <c r="J599" s="1">
        <v>45174</v>
      </c>
      <c r="K599" t="s">
        <v>26</v>
      </c>
      <c r="N599">
        <v>3</v>
      </c>
      <c r="O599">
        <v>4</v>
      </c>
      <c r="P599">
        <v>67</v>
      </c>
      <c r="Q599" t="s">
        <v>26</v>
      </c>
      <c r="R599">
        <f>IF(subscriptions[[#This Row],[churned]]="Yes",1,0)</f>
        <v>0</v>
      </c>
      <c r="S599">
        <f ca="1">IF(subscriptions[[#This Row],[churn_flag]]=1, DATEDIF(subscriptions[[#This Row],[signup_date]],subscriptions[[#This Row],[churn_date]],"M"), DATEDIF(subscriptions[[#This Row],[signup_date]],TODAY(),"M"))</f>
        <v>32</v>
      </c>
      <c r="T599">
        <f ca="1">subscriptions[[#This Row],[monthly_revenue]]*subscriptions[[#This Row],[customer_lifetime]]</f>
        <v>12481.6</v>
      </c>
      <c r="U599" t="str">
        <f>IF(subscriptions[[#This Row],[feature_usage_pct]]&lt;30,"High Risk",IF(subscriptions[[#This Row],[feature_usage_pct]]&lt;60,"Medium Risk","Low Risk"))</f>
        <v>Low Risk</v>
      </c>
      <c r="V599">
        <f ca="1">subscriptions[[#This Row],[CLV]]/200</f>
        <v>62.408000000000001</v>
      </c>
    </row>
    <row r="600" spans="1:22" x14ac:dyDescent="0.25">
      <c r="A600" t="s">
        <v>653</v>
      </c>
      <c r="B600" t="s">
        <v>18</v>
      </c>
      <c r="C600" t="s">
        <v>28</v>
      </c>
      <c r="D600" t="s">
        <v>20</v>
      </c>
      <c r="E600" s="2" t="s">
        <v>663</v>
      </c>
      <c r="F600">
        <v>18</v>
      </c>
      <c r="G600">
        <v>238.38</v>
      </c>
      <c r="H600" t="s">
        <v>22</v>
      </c>
      <c r="I600" t="s">
        <v>23</v>
      </c>
      <c r="J600" s="1">
        <v>45107</v>
      </c>
      <c r="K600" t="s">
        <v>26</v>
      </c>
      <c r="N600">
        <v>11</v>
      </c>
      <c r="O600">
        <v>4</v>
      </c>
      <c r="P600">
        <v>50</v>
      </c>
      <c r="Q600" t="s">
        <v>26</v>
      </c>
      <c r="R600">
        <f>IF(subscriptions[[#This Row],[churned]]="Yes",1,0)</f>
        <v>0</v>
      </c>
      <c r="S600">
        <f ca="1">IF(subscriptions[[#This Row],[churn_flag]]=1, DATEDIF(subscriptions[[#This Row],[signup_date]],subscriptions[[#This Row],[churn_date]],"M"), DATEDIF(subscriptions[[#This Row],[signup_date]],TODAY(),"M"))</f>
        <v>34</v>
      </c>
      <c r="T600">
        <f ca="1">subscriptions[[#This Row],[monthly_revenue]]*subscriptions[[#This Row],[customer_lifetime]]</f>
        <v>8104.92</v>
      </c>
      <c r="U600" t="str">
        <f>IF(subscriptions[[#This Row],[feature_usage_pct]]&lt;30,"High Risk",IF(subscriptions[[#This Row],[feature_usage_pct]]&lt;60,"Medium Risk","Low Risk"))</f>
        <v>Medium Risk</v>
      </c>
      <c r="V600">
        <f ca="1">subscriptions[[#This Row],[CLV]]/200</f>
        <v>40.5246</v>
      </c>
    </row>
    <row r="601" spans="1:22" x14ac:dyDescent="0.25">
      <c r="A601" t="s">
        <v>654</v>
      </c>
      <c r="B601" t="s">
        <v>31</v>
      </c>
      <c r="C601" t="s">
        <v>19</v>
      </c>
      <c r="D601" t="s">
        <v>49</v>
      </c>
      <c r="E601" s="2" t="s">
        <v>33</v>
      </c>
      <c r="F601">
        <v>87</v>
      </c>
      <c r="G601">
        <v>403.1</v>
      </c>
      <c r="H601" t="s">
        <v>34</v>
      </c>
      <c r="I601" t="s">
        <v>38</v>
      </c>
      <c r="J601" s="1">
        <v>45976</v>
      </c>
      <c r="K601" t="s">
        <v>26</v>
      </c>
      <c r="N601">
        <v>10</v>
      </c>
      <c r="O601">
        <v>10</v>
      </c>
      <c r="P601">
        <v>70</v>
      </c>
      <c r="Q601" t="s">
        <v>26</v>
      </c>
      <c r="R601">
        <f>IF(subscriptions[[#This Row],[churned]]="Yes",1,0)</f>
        <v>0</v>
      </c>
      <c r="S601">
        <f ca="1">IF(subscriptions[[#This Row],[churn_flag]]=1, DATEDIF(subscriptions[[#This Row],[signup_date]],subscriptions[[#This Row],[churn_date]],"M"), DATEDIF(subscriptions[[#This Row],[signup_date]],TODAY(),"M"))</f>
        <v>5</v>
      </c>
      <c r="T601">
        <f ca="1">subscriptions[[#This Row],[monthly_revenue]]*subscriptions[[#This Row],[customer_lifetime]]</f>
        <v>2015.5</v>
      </c>
      <c r="U601" t="str">
        <f>IF(subscriptions[[#This Row],[feature_usage_pct]]&lt;30,"High Risk",IF(subscriptions[[#This Row],[feature_usage_pct]]&lt;60,"Medium Risk","Low Risk"))</f>
        <v>Low Risk</v>
      </c>
      <c r="V601">
        <f ca="1">subscriptions[[#This Row],[CLV]]/200</f>
        <v>10.077500000000001</v>
      </c>
    </row>
  </sheetData>
  <phoneticPr fontId="18" type="noConversion"/>
  <conditionalFormatting sqref="U2:U601">
    <cfRule type="cellIs" dxfId="2" priority="2" operator="equal">
      <formula>$U$3</formula>
    </cfRule>
    <cfRule type="cellIs" dxfId="1" priority="3" operator="equal">
      <formula>$U$2</formula>
    </cfRule>
  </conditionalFormatting>
  <conditionalFormatting sqref="U14:U601">
    <cfRule type="cellIs" dxfId="0" priority="1" operator="equal">
      <formula>$U$14</formula>
    </cfRule>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74F90-8F08-45C3-B52E-2E71F9E11A0B}">
  <dimension ref="A1:M49"/>
  <sheetViews>
    <sheetView topLeftCell="B1" workbookViewId="0">
      <selection activeCell="M9" sqref="M9"/>
    </sheetView>
  </sheetViews>
  <sheetFormatPr defaultRowHeight="15" x14ac:dyDescent="0.25"/>
  <cols>
    <col min="1" max="1" width="8.85546875" bestFit="1" customWidth="1"/>
    <col min="2" max="2" width="23.7109375" bestFit="1" customWidth="1"/>
    <col min="3" max="3" width="16.85546875" bestFit="1" customWidth="1"/>
    <col min="4" max="4" width="20.7109375" bestFit="1" customWidth="1"/>
    <col min="5" max="5" width="24.42578125" bestFit="1" customWidth="1"/>
    <col min="6" max="6" width="10.7109375" bestFit="1" customWidth="1"/>
    <col min="7" max="7" width="28.42578125" bestFit="1" customWidth="1"/>
    <col min="8" max="8" width="26.85546875" bestFit="1" customWidth="1"/>
    <col min="9" max="9" width="9.5703125" bestFit="1" customWidth="1"/>
    <col min="10" max="10" width="12.85546875" bestFit="1" customWidth="1"/>
  </cols>
  <sheetData>
    <row r="1" spans="1:13" x14ac:dyDescent="0.25">
      <c r="A1" t="s">
        <v>655</v>
      </c>
      <c r="B1" t="s">
        <v>656</v>
      </c>
      <c r="C1" t="s">
        <v>657</v>
      </c>
      <c r="D1" t="s">
        <v>658</v>
      </c>
      <c r="E1" t="s">
        <v>659</v>
      </c>
      <c r="F1" t="s">
        <v>660</v>
      </c>
      <c r="G1" t="s">
        <v>661</v>
      </c>
      <c r="H1" t="s">
        <v>662</v>
      </c>
      <c r="I1" t="s">
        <v>668</v>
      </c>
      <c r="J1" t="s">
        <v>669</v>
      </c>
      <c r="K1" t="s">
        <v>670</v>
      </c>
    </row>
    <row r="2" spans="1:13" x14ac:dyDescent="0.25">
      <c r="A2" s="1">
        <v>44562</v>
      </c>
      <c r="B2">
        <v>0</v>
      </c>
      <c r="C2">
        <v>5</v>
      </c>
      <c r="D2">
        <v>0</v>
      </c>
      <c r="E2">
        <v>0</v>
      </c>
      <c r="F2">
        <v>0</v>
      </c>
      <c r="G2">
        <v>0</v>
      </c>
      <c r="H2">
        <v>164.92</v>
      </c>
      <c r="I2">
        <f>monthly_revenue[[#This Row],[new_customers]]*monthly_revenue[[#This Row],[avg_revenue_per_customer]]</f>
        <v>0</v>
      </c>
      <c r="J2">
        <f>monthly_revenue[[#This Row],[churned_customers]]*monthly_revenue[[#This Row],[avg_revenue_per_customer]]</f>
        <v>0</v>
      </c>
      <c r="K2">
        <f>monthly_revenue[[#This Row],[new_customers]]-monthly_revenue[[#This Row],[churned_customers]]</f>
        <v>5</v>
      </c>
    </row>
    <row r="3" spans="1:13" x14ac:dyDescent="0.25">
      <c r="A3" s="1">
        <v>44593</v>
      </c>
      <c r="B3">
        <v>5</v>
      </c>
      <c r="C3">
        <v>10</v>
      </c>
      <c r="D3">
        <v>1</v>
      </c>
      <c r="E3">
        <v>20</v>
      </c>
      <c r="F3">
        <v>7333.07</v>
      </c>
      <c r="G3">
        <v>1466.61</v>
      </c>
      <c r="H3">
        <v>189.21</v>
      </c>
      <c r="I3">
        <f>monthly_revenue[[#This Row],[new_customers]]*monthly_revenue[[#This Row],[avg_revenue_per_customer]]</f>
        <v>14666.099999999999</v>
      </c>
      <c r="J3">
        <f>monthly_revenue[[#This Row],[churned_customers]]*monthly_revenue[[#This Row],[avg_revenue_per_customer]]</f>
        <v>1466.61</v>
      </c>
      <c r="K3">
        <f>monthly_revenue[[#This Row],[new_customers]]-monthly_revenue[[#This Row],[churned_customers]]</f>
        <v>9</v>
      </c>
    </row>
    <row r="4" spans="1:13" x14ac:dyDescent="0.25">
      <c r="A4" s="1">
        <v>44621</v>
      </c>
      <c r="B4">
        <v>14</v>
      </c>
      <c r="C4">
        <v>13</v>
      </c>
      <c r="D4">
        <v>0</v>
      </c>
      <c r="E4">
        <v>0</v>
      </c>
      <c r="F4">
        <v>12301.16</v>
      </c>
      <c r="G4">
        <v>878.65</v>
      </c>
      <c r="H4">
        <v>139.49</v>
      </c>
      <c r="I4">
        <f>monthly_revenue[[#This Row],[new_customers]]*monthly_revenue[[#This Row],[avg_revenue_per_customer]]</f>
        <v>11422.449999999999</v>
      </c>
      <c r="J4">
        <f>monthly_revenue[[#This Row],[churned_customers]]*monthly_revenue[[#This Row],[avg_revenue_per_customer]]</f>
        <v>0</v>
      </c>
      <c r="K4">
        <f>monthly_revenue[[#This Row],[new_customers]]-monthly_revenue[[#This Row],[churned_customers]]</f>
        <v>13</v>
      </c>
    </row>
    <row r="5" spans="1:13" x14ac:dyDescent="0.25">
      <c r="A5" s="1">
        <v>44652</v>
      </c>
      <c r="B5">
        <v>28</v>
      </c>
      <c r="C5">
        <v>11</v>
      </c>
      <c r="D5">
        <v>3</v>
      </c>
      <c r="E5">
        <v>10.71</v>
      </c>
      <c r="F5">
        <v>24798.76</v>
      </c>
      <c r="G5">
        <v>885.67</v>
      </c>
      <c r="H5">
        <v>259.08999999999997</v>
      </c>
      <c r="I5">
        <f>monthly_revenue[[#This Row],[new_customers]]*monthly_revenue[[#This Row],[avg_revenue_per_customer]]</f>
        <v>9742.369999999999</v>
      </c>
      <c r="J5">
        <f>monthly_revenue[[#This Row],[churned_customers]]*monthly_revenue[[#This Row],[avg_revenue_per_customer]]</f>
        <v>2657.0099999999998</v>
      </c>
      <c r="K5">
        <f>monthly_revenue[[#This Row],[new_customers]]-monthly_revenue[[#This Row],[churned_customers]]</f>
        <v>8</v>
      </c>
    </row>
    <row r="6" spans="1:13" x14ac:dyDescent="0.25">
      <c r="A6" s="1">
        <v>44682</v>
      </c>
      <c r="B6">
        <v>35</v>
      </c>
      <c r="C6">
        <v>11</v>
      </c>
      <c r="D6">
        <v>1</v>
      </c>
      <c r="E6">
        <v>2.86</v>
      </c>
      <c r="F6">
        <v>29091.88</v>
      </c>
      <c r="G6">
        <v>831.2</v>
      </c>
      <c r="H6">
        <v>152.96</v>
      </c>
      <c r="I6">
        <f>monthly_revenue[[#This Row],[new_customers]]*monthly_revenue[[#This Row],[avg_revenue_per_customer]]</f>
        <v>9143.2000000000007</v>
      </c>
      <c r="J6">
        <f>monthly_revenue[[#This Row],[churned_customers]]*monthly_revenue[[#This Row],[avg_revenue_per_customer]]</f>
        <v>831.2</v>
      </c>
      <c r="K6">
        <f>monthly_revenue[[#This Row],[new_customers]]-monthly_revenue[[#This Row],[churned_customers]]</f>
        <v>10</v>
      </c>
    </row>
    <row r="7" spans="1:13" x14ac:dyDescent="0.25">
      <c r="A7" s="1">
        <v>44713</v>
      </c>
      <c r="B7">
        <v>46</v>
      </c>
      <c r="C7">
        <v>10</v>
      </c>
      <c r="D7">
        <v>2</v>
      </c>
      <c r="E7">
        <v>4.3499999999999996</v>
      </c>
      <c r="F7">
        <v>38919.93</v>
      </c>
      <c r="G7">
        <v>846.09</v>
      </c>
      <c r="H7">
        <v>248.89</v>
      </c>
      <c r="I7">
        <f>monthly_revenue[[#This Row],[new_customers]]*monthly_revenue[[#This Row],[avg_revenue_per_customer]]</f>
        <v>8460.9</v>
      </c>
      <c r="J7">
        <f>monthly_revenue[[#This Row],[churned_customers]]*monthly_revenue[[#This Row],[avg_revenue_per_customer]]</f>
        <v>1692.18</v>
      </c>
      <c r="K7">
        <f>monthly_revenue[[#This Row],[new_customers]]-monthly_revenue[[#This Row],[churned_customers]]</f>
        <v>8</v>
      </c>
      <c r="M7" t="s">
        <v>708</v>
      </c>
    </row>
    <row r="8" spans="1:13" x14ac:dyDescent="0.25">
      <c r="A8" s="1">
        <v>44743</v>
      </c>
      <c r="B8">
        <v>53</v>
      </c>
      <c r="C8">
        <v>8</v>
      </c>
      <c r="D8">
        <v>6</v>
      </c>
      <c r="E8">
        <v>11.32</v>
      </c>
      <c r="F8">
        <v>45097.72</v>
      </c>
      <c r="G8">
        <v>850.9</v>
      </c>
      <c r="H8">
        <v>275.08</v>
      </c>
      <c r="I8">
        <f>monthly_revenue[[#This Row],[new_customers]]*monthly_revenue[[#This Row],[avg_revenue_per_customer]]</f>
        <v>6807.2</v>
      </c>
      <c r="J8">
        <f>monthly_revenue[[#This Row],[churned_customers]]*monthly_revenue[[#This Row],[avg_revenue_per_customer]]</f>
        <v>5105.3999999999996</v>
      </c>
      <c r="K8">
        <f>monthly_revenue[[#This Row],[new_customers]]-monthly_revenue[[#This Row],[churned_customers]]</f>
        <v>2</v>
      </c>
      <c r="M8">
        <f>INDEX(F:F,MATCH(MAX(A:A),A:A,0))</f>
        <v>292628.61</v>
      </c>
    </row>
    <row r="9" spans="1:13" x14ac:dyDescent="0.25">
      <c r="A9" s="1">
        <v>44774</v>
      </c>
      <c r="B9">
        <v>57</v>
      </c>
      <c r="C9">
        <v>18</v>
      </c>
      <c r="D9">
        <v>6</v>
      </c>
      <c r="E9">
        <v>10.53</v>
      </c>
      <c r="F9">
        <v>54140.41</v>
      </c>
      <c r="G9">
        <v>949.83</v>
      </c>
      <c r="H9">
        <v>193.48</v>
      </c>
      <c r="I9">
        <f>monthly_revenue[[#This Row],[new_customers]]*monthly_revenue[[#This Row],[avg_revenue_per_customer]]</f>
        <v>17096.940000000002</v>
      </c>
      <c r="J9">
        <f>monthly_revenue[[#This Row],[churned_customers]]*monthly_revenue[[#This Row],[avg_revenue_per_customer]]</f>
        <v>5698.9800000000005</v>
      </c>
      <c r="K9">
        <f>monthly_revenue[[#This Row],[new_customers]]-monthly_revenue[[#This Row],[churned_customers]]</f>
        <v>12</v>
      </c>
    </row>
    <row r="10" spans="1:13" x14ac:dyDescent="0.25">
      <c r="A10" s="1">
        <v>44805</v>
      </c>
      <c r="B10">
        <v>67</v>
      </c>
      <c r="C10">
        <v>13</v>
      </c>
      <c r="D10">
        <v>5</v>
      </c>
      <c r="E10">
        <v>7.46</v>
      </c>
      <c r="F10">
        <v>65198</v>
      </c>
      <c r="G10">
        <v>973.1</v>
      </c>
      <c r="H10">
        <v>216</v>
      </c>
      <c r="I10">
        <f>monthly_revenue[[#This Row],[new_customers]]*monthly_revenue[[#This Row],[avg_revenue_per_customer]]</f>
        <v>12650.300000000001</v>
      </c>
      <c r="J10">
        <f>monthly_revenue[[#This Row],[churned_customers]]*monthly_revenue[[#This Row],[avg_revenue_per_customer]]</f>
        <v>4865.5</v>
      </c>
      <c r="K10">
        <f>monthly_revenue[[#This Row],[new_customers]]-monthly_revenue[[#This Row],[churned_customers]]</f>
        <v>8</v>
      </c>
    </row>
    <row r="11" spans="1:13" x14ac:dyDescent="0.25">
      <c r="A11" s="1">
        <v>44835</v>
      </c>
      <c r="B11">
        <v>76</v>
      </c>
      <c r="C11">
        <v>16</v>
      </c>
      <c r="D11">
        <v>5</v>
      </c>
      <c r="E11">
        <v>6.58</v>
      </c>
      <c r="F11">
        <v>86824.16</v>
      </c>
      <c r="G11">
        <v>1142.42</v>
      </c>
      <c r="H11">
        <v>246.32</v>
      </c>
      <c r="I11">
        <f>monthly_revenue[[#This Row],[new_customers]]*monthly_revenue[[#This Row],[avg_revenue_per_customer]]</f>
        <v>18278.72</v>
      </c>
      <c r="J11">
        <f>monthly_revenue[[#This Row],[churned_customers]]*monthly_revenue[[#This Row],[avg_revenue_per_customer]]</f>
        <v>5712.1</v>
      </c>
      <c r="K11">
        <f>monthly_revenue[[#This Row],[new_customers]]-monthly_revenue[[#This Row],[churned_customers]]</f>
        <v>11</v>
      </c>
    </row>
    <row r="12" spans="1:13" x14ac:dyDescent="0.25">
      <c r="A12" s="1">
        <v>44866</v>
      </c>
      <c r="B12">
        <v>87</v>
      </c>
      <c r="C12">
        <v>14</v>
      </c>
      <c r="D12">
        <v>5</v>
      </c>
      <c r="E12">
        <v>5.75</v>
      </c>
      <c r="F12">
        <v>93168.11</v>
      </c>
      <c r="G12">
        <v>1070.9000000000001</v>
      </c>
      <c r="H12">
        <v>130.12</v>
      </c>
      <c r="I12">
        <f>monthly_revenue[[#This Row],[new_customers]]*monthly_revenue[[#This Row],[avg_revenue_per_customer]]</f>
        <v>14992.600000000002</v>
      </c>
      <c r="J12">
        <f>monthly_revenue[[#This Row],[churned_customers]]*monthly_revenue[[#This Row],[avg_revenue_per_customer]]</f>
        <v>5354.5</v>
      </c>
      <c r="K12">
        <f>monthly_revenue[[#This Row],[new_customers]]-monthly_revenue[[#This Row],[churned_customers]]</f>
        <v>9</v>
      </c>
    </row>
    <row r="13" spans="1:13" x14ac:dyDescent="0.25">
      <c r="A13" s="1">
        <v>44896</v>
      </c>
      <c r="B13">
        <v>95</v>
      </c>
      <c r="C13">
        <v>14</v>
      </c>
      <c r="D13">
        <v>2</v>
      </c>
      <c r="E13">
        <v>2.11</v>
      </c>
      <c r="F13">
        <v>96100.66</v>
      </c>
      <c r="G13">
        <v>1011.59</v>
      </c>
      <c r="H13">
        <v>160.94</v>
      </c>
      <c r="I13">
        <f>monthly_revenue[[#This Row],[new_customers]]*monthly_revenue[[#This Row],[avg_revenue_per_customer]]</f>
        <v>14162.26</v>
      </c>
      <c r="J13">
        <f>monthly_revenue[[#This Row],[churned_customers]]*monthly_revenue[[#This Row],[avg_revenue_per_customer]]</f>
        <v>2023.18</v>
      </c>
      <c r="K13">
        <f>monthly_revenue[[#This Row],[new_customers]]-monthly_revenue[[#This Row],[churned_customers]]</f>
        <v>12</v>
      </c>
    </row>
    <row r="14" spans="1:13" x14ac:dyDescent="0.25">
      <c r="A14" s="1">
        <v>44927</v>
      </c>
      <c r="B14">
        <v>107</v>
      </c>
      <c r="C14">
        <v>12</v>
      </c>
      <c r="D14">
        <v>4</v>
      </c>
      <c r="E14">
        <v>3.74</v>
      </c>
      <c r="F14">
        <v>104773.35</v>
      </c>
      <c r="G14">
        <v>979.19</v>
      </c>
      <c r="H14">
        <v>258.64999999999998</v>
      </c>
      <c r="I14">
        <f>monthly_revenue[[#This Row],[new_customers]]*monthly_revenue[[#This Row],[avg_revenue_per_customer]]</f>
        <v>11750.28</v>
      </c>
      <c r="J14">
        <f>monthly_revenue[[#This Row],[churned_customers]]*monthly_revenue[[#This Row],[avg_revenue_per_customer]]</f>
        <v>3916.76</v>
      </c>
      <c r="K14">
        <f>monthly_revenue[[#This Row],[new_customers]]-monthly_revenue[[#This Row],[churned_customers]]</f>
        <v>8</v>
      </c>
    </row>
    <row r="15" spans="1:13" x14ac:dyDescent="0.25">
      <c r="A15" s="1">
        <v>44958</v>
      </c>
      <c r="B15">
        <v>115</v>
      </c>
      <c r="C15">
        <v>10</v>
      </c>
      <c r="D15">
        <v>3</v>
      </c>
      <c r="E15">
        <v>2.61</v>
      </c>
      <c r="F15">
        <v>115539.13</v>
      </c>
      <c r="G15">
        <v>1004.69</v>
      </c>
      <c r="H15">
        <v>262.48</v>
      </c>
      <c r="I15">
        <f>monthly_revenue[[#This Row],[new_customers]]*monthly_revenue[[#This Row],[avg_revenue_per_customer]]</f>
        <v>10046.900000000001</v>
      </c>
      <c r="J15">
        <f>monthly_revenue[[#This Row],[churned_customers]]*monthly_revenue[[#This Row],[avg_revenue_per_customer]]</f>
        <v>3014.07</v>
      </c>
      <c r="K15">
        <f>monthly_revenue[[#This Row],[new_customers]]-monthly_revenue[[#This Row],[churned_customers]]</f>
        <v>7</v>
      </c>
    </row>
    <row r="16" spans="1:13" x14ac:dyDescent="0.25">
      <c r="A16" s="1">
        <v>44986</v>
      </c>
      <c r="B16">
        <v>123</v>
      </c>
      <c r="C16">
        <v>5</v>
      </c>
      <c r="D16">
        <v>2</v>
      </c>
      <c r="E16">
        <v>1.63</v>
      </c>
      <c r="F16">
        <v>125258.61</v>
      </c>
      <c r="G16">
        <v>1018.36</v>
      </c>
      <c r="H16">
        <v>274.97000000000003</v>
      </c>
      <c r="I16">
        <f>monthly_revenue[[#This Row],[new_customers]]*monthly_revenue[[#This Row],[avg_revenue_per_customer]]</f>
        <v>5091.8</v>
      </c>
      <c r="J16">
        <f>monthly_revenue[[#This Row],[churned_customers]]*monthly_revenue[[#This Row],[avg_revenue_per_customer]]</f>
        <v>2036.72</v>
      </c>
      <c r="K16">
        <f>monthly_revenue[[#This Row],[new_customers]]-monthly_revenue[[#This Row],[churned_customers]]</f>
        <v>3</v>
      </c>
    </row>
    <row r="17" spans="1:11" x14ac:dyDescent="0.25">
      <c r="A17" s="1">
        <v>45017</v>
      </c>
      <c r="B17">
        <v>125</v>
      </c>
      <c r="C17">
        <v>14</v>
      </c>
      <c r="D17">
        <v>8</v>
      </c>
      <c r="E17">
        <v>6.4</v>
      </c>
      <c r="F17">
        <v>129471.28</v>
      </c>
      <c r="G17">
        <v>1035.77</v>
      </c>
      <c r="H17">
        <v>271.47000000000003</v>
      </c>
      <c r="I17">
        <f>monthly_revenue[[#This Row],[new_customers]]*monthly_revenue[[#This Row],[avg_revenue_per_customer]]</f>
        <v>14500.779999999999</v>
      </c>
      <c r="J17">
        <f>monthly_revenue[[#This Row],[churned_customers]]*monthly_revenue[[#This Row],[avg_revenue_per_customer]]</f>
        <v>8286.16</v>
      </c>
      <c r="K17">
        <f>monthly_revenue[[#This Row],[new_customers]]-monthly_revenue[[#This Row],[churned_customers]]</f>
        <v>6</v>
      </c>
    </row>
    <row r="18" spans="1:11" x14ac:dyDescent="0.25">
      <c r="A18" s="1">
        <v>45047</v>
      </c>
      <c r="B18">
        <v>133</v>
      </c>
      <c r="C18">
        <v>13</v>
      </c>
      <c r="D18">
        <v>4</v>
      </c>
      <c r="E18">
        <v>3.01</v>
      </c>
      <c r="F18">
        <v>142401.69</v>
      </c>
      <c r="G18">
        <v>1070.69</v>
      </c>
      <c r="H18">
        <v>122.99</v>
      </c>
      <c r="I18">
        <f>monthly_revenue[[#This Row],[new_customers]]*monthly_revenue[[#This Row],[avg_revenue_per_customer]]</f>
        <v>13918.970000000001</v>
      </c>
      <c r="J18">
        <f>monthly_revenue[[#This Row],[churned_customers]]*monthly_revenue[[#This Row],[avg_revenue_per_customer]]</f>
        <v>4282.76</v>
      </c>
      <c r="K18">
        <f>monthly_revenue[[#This Row],[new_customers]]-monthly_revenue[[#This Row],[churned_customers]]</f>
        <v>9</v>
      </c>
    </row>
    <row r="19" spans="1:11" x14ac:dyDescent="0.25">
      <c r="A19" s="1">
        <v>45078</v>
      </c>
      <c r="B19">
        <v>140</v>
      </c>
      <c r="C19">
        <v>15</v>
      </c>
      <c r="D19">
        <v>10</v>
      </c>
      <c r="E19">
        <v>7.14</v>
      </c>
      <c r="F19">
        <v>142966.32</v>
      </c>
      <c r="G19">
        <v>1021.19</v>
      </c>
      <c r="H19">
        <v>161.5</v>
      </c>
      <c r="I19">
        <f>monthly_revenue[[#This Row],[new_customers]]*monthly_revenue[[#This Row],[avg_revenue_per_customer]]</f>
        <v>15317.85</v>
      </c>
      <c r="J19">
        <f>monthly_revenue[[#This Row],[churned_customers]]*monthly_revenue[[#This Row],[avg_revenue_per_customer]]</f>
        <v>10211.900000000001</v>
      </c>
      <c r="K19">
        <f>monthly_revenue[[#This Row],[new_customers]]-monthly_revenue[[#This Row],[churned_customers]]</f>
        <v>5</v>
      </c>
    </row>
    <row r="20" spans="1:11" x14ac:dyDescent="0.25">
      <c r="A20" s="1">
        <v>45108</v>
      </c>
      <c r="B20">
        <v>145</v>
      </c>
      <c r="C20">
        <v>19</v>
      </c>
      <c r="D20">
        <v>7</v>
      </c>
      <c r="E20">
        <v>4.83</v>
      </c>
      <c r="F20">
        <v>147630.35999999999</v>
      </c>
      <c r="G20">
        <v>1018.14</v>
      </c>
      <c r="H20">
        <v>279.58999999999997</v>
      </c>
      <c r="I20">
        <f>monthly_revenue[[#This Row],[new_customers]]*monthly_revenue[[#This Row],[avg_revenue_per_customer]]</f>
        <v>19344.66</v>
      </c>
      <c r="J20">
        <f>monthly_revenue[[#This Row],[churned_customers]]*monthly_revenue[[#This Row],[avg_revenue_per_customer]]</f>
        <v>7126.98</v>
      </c>
      <c r="K20">
        <f>monthly_revenue[[#This Row],[new_customers]]-monthly_revenue[[#This Row],[churned_customers]]</f>
        <v>12</v>
      </c>
    </row>
    <row r="21" spans="1:11" x14ac:dyDescent="0.25">
      <c r="A21" s="1">
        <v>45139</v>
      </c>
      <c r="B21">
        <v>157</v>
      </c>
      <c r="C21">
        <v>10</v>
      </c>
      <c r="D21">
        <v>7</v>
      </c>
      <c r="E21">
        <v>4.46</v>
      </c>
      <c r="F21">
        <v>158920.70000000001</v>
      </c>
      <c r="G21">
        <v>1012.23</v>
      </c>
      <c r="H21">
        <v>131.26</v>
      </c>
      <c r="I21">
        <f>monthly_revenue[[#This Row],[new_customers]]*monthly_revenue[[#This Row],[avg_revenue_per_customer]]</f>
        <v>10122.299999999999</v>
      </c>
      <c r="J21">
        <f>monthly_revenue[[#This Row],[churned_customers]]*monthly_revenue[[#This Row],[avg_revenue_per_customer]]</f>
        <v>7085.6100000000006</v>
      </c>
      <c r="K21">
        <f>monthly_revenue[[#This Row],[new_customers]]-monthly_revenue[[#This Row],[churned_customers]]</f>
        <v>3</v>
      </c>
    </row>
    <row r="22" spans="1:11" x14ac:dyDescent="0.25">
      <c r="A22" s="1">
        <v>45170</v>
      </c>
      <c r="B22">
        <v>160</v>
      </c>
      <c r="C22">
        <v>17</v>
      </c>
      <c r="D22">
        <v>7</v>
      </c>
      <c r="E22">
        <v>4.38</v>
      </c>
      <c r="F22">
        <v>162830.01999999999</v>
      </c>
      <c r="G22">
        <v>1017.69</v>
      </c>
      <c r="H22">
        <v>258.93</v>
      </c>
      <c r="I22">
        <f>monthly_revenue[[#This Row],[new_customers]]*monthly_revenue[[#This Row],[avg_revenue_per_customer]]</f>
        <v>17300.73</v>
      </c>
      <c r="J22">
        <f>monthly_revenue[[#This Row],[churned_customers]]*monthly_revenue[[#This Row],[avg_revenue_per_customer]]</f>
        <v>7123.83</v>
      </c>
      <c r="K22">
        <f>monthly_revenue[[#This Row],[new_customers]]-monthly_revenue[[#This Row],[churned_customers]]</f>
        <v>10</v>
      </c>
    </row>
    <row r="23" spans="1:11" x14ac:dyDescent="0.25">
      <c r="A23" s="1">
        <v>45200</v>
      </c>
      <c r="B23">
        <v>170</v>
      </c>
      <c r="C23">
        <v>16</v>
      </c>
      <c r="D23">
        <v>5</v>
      </c>
      <c r="E23">
        <v>2.94</v>
      </c>
      <c r="F23">
        <v>170763.72</v>
      </c>
      <c r="G23">
        <v>1004.49</v>
      </c>
      <c r="H23">
        <v>240.01</v>
      </c>
      <c r="I23">
        <f>monthly_revenue[[#This Row],[new_customers]]*monthly_revenue[[#This Row],[avg_revenue_per_customer]]</f>
        <v>16071.84</v>
      </c>
      <c r="J23">
        <f>monthly_revenue[[#This Row],[churned_customers]]*monthly_revenue[[#This Row],[avg_revenue_per_customer]]</f>
        <v>5022.45</v>
      </c>
      <c r="K23">
        <f>monthly_revenue[[#This Row],[new_customers]]-monthly_revenue[[#This Row],[churned_customers]]</f>
        <v>11</v>
      </c>
    </row>
    <row r="24" spans="1:11" x14ac:dyDescent="0.25">
      <c r="A24" s="1">
        <v>45231</v>
      </c>
      <c r="B24">
        <v>181</v>
      </c>
      <c r="C24">
        <v>11</v>
      </c>
      <c r="D24">
        <v>8</v>
      </c>
      <c r="E24">
        <v>4.42</v>
      </c>
      <c r="F24">
        <v>184058.29</v>
      </c>
      <c r="G24">
        <v>1016.9</v>
      </c>
      <c r="H24">
        <v>178.83</v>
      </c>
      <c r="I24">
        <f>monthly_revenue[[#This Row],[new_customers]]*monthly_revenue[[#This Row],[avg_revenue_per_customer]]</f>
        <v>11185.9</v>
      </c>
      <c r="J24">
        <f>monthly_revenue[[#This Row],[churned_customers]]*monthly_revenue[[#This Row],[avg_revenue_per_customer]]</f>
        <v>8135.2</v>
      </c>
      <c r="K24">
        <f>monthly_revenue[[#This Row],[new_customers]]-monthly_revenue[[#This Row],[churned_customers]]</f>
        <v>3</v>
      </c>
    </row>
    <row r="25" spans="1:11" x14ac:dyDescent="0.25">
      <c r="A25" s="1">
        <v>45261</v>
      </c>
      <c r="B25">
        <v>183</v>
      </c>
      <c r="C25">
        <v>9</v>
      </c>
      <c r="D25">
        <v>7</v>
      </c>
      <c r="E25">
        <v>3.83</v>
      </c>
      <c r="F25">
        <v>189579.35</v>
      </c>
      <c r="G25">
        <v>1035.95</v>
      </c>
      <c r="H25">
        <v>180.21</v>
      </c>
      <c r="I25">
        <f>monthly_revenue[[#This Row],[new_customers]]*monthly_revenue[[#This Row],[avg_revenue_per_customer]]</f>
        <v>9323.5500000000011</v>
      </c>
      <c r="J25">
        <f>monthly_revenue[[#This Row],[churned_customers]]*monthly_revenue[[#This Row],[avg_revenue_per_customer]]</f>
        <v>7251.6500000000005</v>
      </c>
      <c r="K25">
        <f>monthly_revenue[[#This Row],[new_customers]]-monthly_revenue[[#This Row],[churned_customers]]</f>
        <v>2</v>
      </c>
    </row>
    <row r="26" spans="1:11" x14ac:dyDescent="0.25">
      <c r="A26" s="1">
        <v>45292</v>
      </c>
      <c r="B26">
        <v>186</v>
      </c>
      <c r="C26">
        <v>10</v>
      </c>
      <c r="D26">
        <v>7</v>
      </c>
      <c r="E26">
        <v>3.76</v>
      </c>
      <c r="F26">
        <v>191783.54</v>
      </c>
      <c r="G26">
        <v>1031.0899999999999</v>
      </c>
      <c r="H26">
        <v>275.62</v>
      </c>
      <c r="I26">
        <f>monthly_revenue[[#This Row],[new_customers]]*monthly_revenue[[#This Row],[avg_revenue_per_customer]]</f>
        <v>10310.9</v>
      </c>
      <c r="J26">
        <f>monthly_revenue[[#This Row],[churned_customers]]*monthly_revenue[[#This Row],[avg_revenue_per_customer]]</f>
        <v>7217.6299999999992</v>
      </c>
      <c r="K26">
        <f>monthly_revenue[[#This Row],[new_customers]]-monthly_revenue[[#This Row],[churned_customers]]</f>
        <v>3</v>
      </c>
    </row>
    <row r="27" spans="1:11" x14ac:dyDescent="0.25">
      <c r="A27" s="1">
        <v>45323</v>
      </c>
      <c r="B27">
        <v>188</v>
      </c>
      <c r="C27">
        <v>7</v>
      </c>
      <c r="D27">
        <v>8</v>
      </c>
      <c r="E27">
        <v>4.26</v>
      </c>
      <c r="F27">
        <v>192379.41</v>
      </c>
      <c r="G27">
        <v>1023.29</v>
      </c>
      <c r="H27">
        <v>142.08000000000001</v>
      </c>
      <c r="I27">
        <f>monthly_revenue[[#This Row],[new_customers]]*monthly_revenue[[#This Row],[avg_revenue_per_customer]]</f>
        <v>7163.03</v>
      </c>
      <c r="J27">
        <f>monthly_revenue[[#This Row],[churned_customers]]*monthly_revenue[[#This Row],[avg_revenue_per_customer]]</f>
        <v>8186.32</v>
      </c>
      <c r="K27">
        <f>monthly_revenue[[#This Row],[new_customers]]-monthly_revenue[[#This Row],[churned_customers]]</f>
        <v>-1</v>
      </c>
    </row>
    <row r="28" spans="1:11" x14ac:dyDescent="0.25">
      <c r="A28" s="1">
        <v>45352</v>
      </c>
      <c r="B28">
        <v>189</v>
      </c>
      <c r="C28">
        <v>19</v>
      </c>
      <c r="D28">
        <v>4</v>
      </c>
      <c r="E28">
        <v>2.12</v>
      </c>
      <c r="F28">
        <v>196219.33</v>
      </c>
      <c r="G28">
        <v>1038.2</v>
      </c>
      <c r="H28">
        <v>251.87</v>
      </c>
      <c r="I28">
        <f>monthly_revenue[[#This Row],[new_customers]]*monthly_revenue[[#This Row],[avg_revenue_per_customer]]</f>
        <v>19725.8</v>
      </c>
      <c r="J28">
        <f>monthly_revenue[[#This Row],[churned_customers]]*monthly_revenue[[#This Row],[avg_revenue_per_customer]]</f>
        <v>4152.8</v>
      </c>
      <c r="K28">
        <f>monthly_revenue[[#This Row],[new_customers]]-monthly_revenue[[#This Row],[churned_customers]]</f>
        <v>15</v>
      </c>
    </row>
    <row r="29" spans="1:11" x14ac:dyDescent="0.25">
      <c r="A29" s="1">
        <v>45383</v>
      </c>
      <c r="B29">
        <v>203</v>
      </c>
      <c r="C29">
        <v>11</v>
      </c>
      <c r="D29">
        <v>8</v>
      </c>
      <c r="E29">
        <v>3.94</v>
      </c>
      <c r="F29">
        <v>200076.61</v>
      </c>
      <c r="G29">
        <v>985.6</v>
      </c>
      <c r="H29">
        <v>212.11</v>
      </c>
      <c r="I29">
        <f>monthly_revenue[[#This Row],[new_customers]]*monthly_revenue[[#This Row],[avg_revenue_per_customer]]</f>
        <v>10841.6</v>
      </c>
      <c r="J29">
        <f>monthly_revenue[[#This Row],[churned_customers]]*monthly_revenue[[#This Row],[avg_revenue_per_customer]]</f>
        <v>7884.8</v>
      </c>
      <c r="K29">
        <f>monthly_revenue[[#This Row],[new_customers]]-monthly_revenue[[#This Row],[churned_customers]]</f>
        <v>3</v>
      </c>
    </row>
    <row r="30" spans="1:11" x14ac:dyDescent="0.25">
      <c r="A30" s="1">
        <v>45413</v>
      </c>
      <c r="B30">
        <v>206</v>
      </c>
      <c r="C30">
        <v>14</v>
      </c>
      <c r="D30">
        <v>8</v>
      </c>
      <c r="E30">
        <v>3.88</v>
      </c>
      <c r="F30">
        <v>217117.58</v>
      </c>
      <c r="G30">
        <v>1053.97</v>
      </c>
      <c r="H30">
        <v>139.55000000000001</v>
      </c>
      <c r="I30">
        <f>monthly_revenue[[#This Row],[new_customers]]*monthly_revenue[[#This Row],[avg_revenue_per_customer]]</f>
        <v>14755.58</v>
      </c>
      <c r="J30">
        <f>monthly_revenue[[#This Row],[churned_customers]]*monthly_revenue[[#This Row],[avg_revenue_per_customer]]</f>
        <v>8431.76</v>
      </c>
      <c r="K30">
        <f>monthly_revenue[[#This Row],[new_customers]]-monthly_revenue[[#This Row],[churned_customers]]</f>
        <v>6</v>
      </c>
    </row>
    <row r="31" spans="1:11" x14ac:dyDescent="0.25">
      <c r="A31" s="1">
        <v>45444</v>
      </c>
      <c r="B31">
        <v>213</v>
      </c>
      <c r="C31">
        <v>13</v>
      </c>
      <c r="D31">
        <v>9</v>
      </c>
      <c r="E31">
        <v>4.2300000000000004</v>
      </c>
      <c r="F31">
        <v>215810.52</v>
      </c>
      <c r="G31">
        <v>1013.19</v>
      </c>
      <c r="H31">
        <v>241.12</v>
      </c>
      <c r="I31">
        <f>monthly_revenue[[#This Row],[new_customers]]*monthly_revenue[[#This Row],[avg_revenue_per_customer]]</f>
        <v>13171.470000000001</v>
      </c>
      <c r="J31">
        <f>monthly_revenue[[#This Row],[churned_customers]]*monthly_revenue[[#This Row],[avg_revenue_per_customer]]</f>
        <v>9118.7100000000009</v>
      </c>
      <c r="K31">
        <f>monthly_revenue[[#This Row],[new_customers]]-monthly_revenue[[#This Row],[churned_customers]]</f>
        <v>4</v>
      </c>
    </row>
    <row r="32" spans="1:11" x14ac:dyDescent="0.25">
      <c r="A32" s="1">
        <v>45474</v>
      </c>
      <c r="B32">
        <v>216</v>
      </c>
      <c r="C32">
        <v>14</v>
      </c>
      <c r="D32">
        <v>8</v>
      </c>
      <c r="E32">
        <v>3.7</v>
      </c>
      <c r="F32">
        <v>222303.35999999999</v>
      </c>
      <c r="G32">
        <v>1029.18</v>
      </c>
      <c r="H32">
        <v>201.02</v>
      </c>
      <c r="I32">
        <f>monthly_revenue[[#This Row],[new_customers]]*monthly_revenue[[#This Row],[avg_revenue_per_customer]]</f>
        <v>14408.52</v>
      </c>
      <c r="J32">
        <f>monthly_revenue[[#This Row],[churned_customers]]*monthly_revenue[[#This Row],[avg_revenue_per_customer]]</f>
        <v>8233.44</v>
      </c>
      <c r="K32">
        <f>monthly_revenue[[#This Row],[new_customers]]-monthly_revenue[[#This Row],[churned_customers]]</f>
        <v>6</v>
      </c>
    </row>
    <row r="33" spans="1:11" x14ac:dyDescent="0.25">
      <c r="A33" s="1">
        <v>45505</v>
      </c>
      <c r="B33">
        <v>223</v>
      </c>
      <c r="C33">
        <v>12</v>
      </c>
      <c r="D33">
        <v>7</v>
      </c>
      <c r="E33">
        <v>3.14</v>
      </c>
      <c r="F33">
        <v>242222.62</v>
      </c>
      <c r="G33">
        <v>1086.2</v>
      </c>
      <c r="H33">
        <v>128.12</v>
      </c>
      <c r="I33">
        <f>monthly_revenue[[#This Row],[new_customers]]*monthly_revenue[[#This Row],[avg_revenue_per_customer]]</f>
        <v>13034.400000000001</v>
      </c>
      <c r="J33">
        <f>monthly_revenue[[#This Row],[churned_customers]]*monthly_revenue[[#This Row],[avg_revenue_per_customer]]</f>
        <v>7603.4000000000005</v>
      </c>
      <c r="K33">
        <f>monthly_revenue[[#This Row],[new_customers]]-monthly_revenue[[#This Row],[churned_customers]]</f>
        <v>5</v>
      </c>
    </row>
    <row r="34" spans="1:11" x14ac:dyDescent="0.25">
      <c r="A34" s="1">
        <v>45536</v>
      </c>
      <c r="B34">
        <v>226</v>
      </c>
      <c r="C34">
        <v>11</v>
      </c>
      <c r="D34">
        <v>7</v>
      </c>
      <c r="E34">
        <v>3.1</v>
      </c>
      <c r="F34">
        <v>234749.84</v>
      </c>
      <c r="G34">
        <v>1038.72</v>
      </c>
      <c r="H34">
        <v>125.59</v>
      </c>
      <c r="I34">
        <f>monthly_revenue[[#This Row],[new_customers]]*monthly_revenue[[#This Row],[avg_revenue_per_customer]]</f>
        <v>11425.92</v>
      </c>
      <c r="J34">
        <f>monthly_revenue[[#This Row],[churned_customers]]*monthly_revenue[[#This Row],[avg_revenue_per_customer]]</f>
        <v>7271.04</v>
      </c>
      <c r="K34">
        <f>monthly_revenue[[#This Row],[new_customers]]-monthly_revenue[[#This Row],[churned_customers]]</f>
        <v>4</v>
      </c>
    </row>
    <row r="35" spans="1:11" x14ac:dyDescent="0.25">
      <c r="A35" s="1">
        <v>45566</v>
      </c>
      <c r="B35">
        <v>233</v>
      </c>
      <c r="C35">
        <v>13</v>
      </c>
      <c r="D35">
        <v>7</v>
      </c>
      <c r="E35">
        <v>3</v>
      </c>
      <c r="F35">
        <v>239344.73</v>
      </c>
      <c r="G35">
        <v>1027.23</v>
      </c>
      <c r="H35">
        <v>242.79</v>
      </c>
      <c r="I35">
        <f>monthly_revenue[[#This Row],[new_customers]]*monthly_revenue[[#This Row],[avg_revenue_per_customer]]</f>
        <v>13353.99</v>
      </c>
      <c r="J35">
        <f>monthly_revenue[[#This Row],[churned_customers]]*monthly_revenue[[#This Row],[avg_revenue_per_customer]]</f>
        <v>7190.6100000000006</v>
      </c>
      <c r="K35">
        <f>monthly_revenue[[#This Row],[new_customers]]-monthly_revenue[[#This Row],[churned_customers]]</f>
        <v>6</v>
      </c>
    </row>
    <row r="36" spans="1:11" x14ac:dyDescent="0.25">
      <c r="A36" s="1">
        <v>45597</v>
      </c>
      <c r="B36">
        <v>238</v>
      </c>
      <c r="C36">
        <v>12</v>
      </c>
      <c r="D36">
        <v>9</v>
      </c>
      <c r="E36">
        <v>3.78</v>
      </c>
      <c r="F36">
        <v>253489.47</v>
      </c>
      <c r="G36">
        <v>1065.08</v>
      </c>
      <c r="H36">
        <v>234.58</v>
      </c>
      <c r="I36">
        <f>monthly_revenue[[#This Row],[new_customers]]*monthly_revenue[[#This Row],[avg_revenue_per_customer]]</f>
        <v>12780.96</v>
      </c>
      <c r="J36">
        <f>monthly_revenue[[#This Row],[churned_customers]]*monthly_revenue[[#This Row],[avg_revenue_per_customer]]</f>
        <v>9585.7199999999993</v>
      </c>
      <c r="K36">
        <f>monthly_revenue[[#This Row],[new_customers]]-monthly_revenue[[#This Row],[churned_customers]]</f>
        <v>3</v>
      </c>
    </row>
    <row r="37" spans="1:11" x14ac:dyDescent="0.25">
      <c r="A37" s="1">
        <v>45627</v>
      </c>
      <c r="B37">
        <v>240</v>
      </c>
      <c r="C37">
        <v>15</v>
      </c>
      <c r="D37">
        <v>9</v>
      </c>
      <c r="E37">
        <v>3.75</v>
      </c>
      <c r="F37">
        <v>260856.24</v>
      </c>
      <c r="G37">
        <v>1086.9000000000001</v>
      </c>
      <c r="H37">
        <v>238.17</v>
      </c>
      <c r="I37">
        <f>monthly_revenue[[#This Row],[new_customers]]*monthly_revenue[[#This Row],[avg_revenue_per_customer]]</f>
        <v>16303.500000000002</v>
      </c>
      <c r="J37">
        <f>monthly_revenue[[#This Row],[churned_customers]]*monthly_revenue[[#This Row],[avg_revenue_per_customer]]</f>
        <v>9782.1</v>
      </c>
      <c r="K37">
        <f>monthly_revenue[[#This Row],[new_customers]]-monthly_revenue[[#This Row],[churned_customers]]</f>
        <v>6</v>
      </c>
    </row>
    <row r="38" spans="1:11" x14ac:dyDescent="0.25">
      <c r="A38" s="1">
        <v>45658</v>
      </c>
      <c r="B38">
        <v>247</v>
      </c>
      <c r="C38">
        <v>13</v>
      </c>
      <c r="D38">
        <v>9</v>
      </c>
      <c r="E38">
        <v>3.64</v>
      </c>
      <c r="F38">
        <v>266142.93</v>
      </c>
      <c r="G38">
        <v>1077.5</v>
      </c>
      <c r="H38">
        <v>218.41</v>
      </c>
      <c r="I38">
        <f>monthly_revenue[[#This Row],[new_customers]]*monthly_revenue[[#This Row],[avg_revenue_per_customer]]</f>
        <v>14007.5</v>
      </c>
      <c r="J38">
        <f>monthly_revenue[[#This Row],[churned_customers]]*monthly_revenue[[#This Row],[avg_revenue_per_customer]]</f>
        <v>9697.5</v>
      </c>
      <c r="K38">
        <f>monthly_revenue[[#This Row],[new_customers]]-monthly_revenue[[#This Row],[churned_customers]]</f>
        <v>4</v>
      </c>
    </row>
    <row r="39" spans="1:11" x14ac:dyDescent="0.25">
      <c r="A39" s="1">
        <v>45689</v>
      </c>
      <c r="B39">
        <v>251</v>
      </c>
      <c r="C39">
        <v>15</v>
      </c>
      <c r="D39">
        <v>8</v>
      </c>
      <c r="E39">
        <v>3.19</v>
      </c>
      <c r="F39">
        <v>274162.53999999998</v>
      </c>
      <c r="G39">
        <v>1092.28</v>
      </c>
      <c r="H39">
        <v>164.96</v>
      </c>
      <c r="I39">
        <f>monthly_revenue[[#This Row],[new_customers]]*monthly_revenue[[#This Row],[avg_revenue_per_customer]]</f>
        <v>16384.2</v>
      </c>
      <c r="J39">
        <f>monthly_revenue[[#This Row],[churned_customers]]*monthly_revenue[[#This Row],[avg_revenue_per_customer]]</f>
        <v>8738.24</v>
      </c>
      <c r="K39">
        <f>monthly_revenue[[#This Row],[new_customers]]-monthly_revenue[[#This Row],[churned_customers]]</f>
        <v>7</v>
      </c>
    </row>
    <row r="40" spans="1:11" x14ac:dyDescent="0.25">
      <c r="A40" s="1">
        <v>45717</v>
      </c>
      <c r="B40">
        <v>257</v>
      </c>
      <c r="C40">
        <v>18</v>
      </c>
      <c r="D40">
        <v>7</v>
      </c>
      <c r="E40">
        <v>2.72</v>
      </c>
      <c r="F40">
        <v>280928.08</v>
      </c>
      <c r="G40">
        <v>1093.1099999999999</v>
      </c>
      <c r="H40">
        <v>138.82</v>
      </c>
      <c r="I40">
        <f>monthly_revenue[[#This Row],[new_customers]]*monthly_revenue[[#This Row],[avg_revenue_per_customer]]</f>
        <v>19675.98</v>
      </c>
      <c r="J40">
        <f>monthly_revenue[[#This Row],[churned_customers]]*monthly_revenue[[#This Row],[avg_revenue_per_customer]]</f>
        <v>7651.7699999999995</v>
      </c>
      <c r="K40">
        <f>monthly_revenue[[#This Row],[new_customers]]-monthly_revenue[[#This Row],[churned_customers]]</f>
        <v>11</v>
      </c>
    </row>
    <row r="41" spans="1:11" x14ac:dyDescent="0.25">
      <c r="A41" s="1">
        <v>45748</v>
      </c>
      <c r="B41">
        <v>270</v>
      </c>
      <c r="C41">
        <v>13</v>
      </c>
      <c r="D41">
        <v>17</v>
      </c>
      <c r="E41">
        <v>6.3</v>
      </c>
      <c r="F41">
        <v>287791.15000000002</v>
      </c>
      <c r="G41">
        <v>1065.8900000000001</v>
      </c>
      <c r="H41">
        <v>144.11000000000001</v>
      </c>
      <c r="I41">
        <f>monthly_revenue[[#This Row],[new_customers]]*monthly_revenue[[#This Row],[avg_revenue_per_customer]]</f>
        <v>13856.570000000002</v>
      </c>
      <c r="J41">
        <f>monthly_revenue[[#This Row],[churned_customers]]*monthly_revenue[[#This Row],[avg_revenue_per_customer]]</f>
        <v>18120.13</v>
      </c>
      <c r="K41">
        <f>monthly_revenue[[#This Row],[new_customers]]-monthly_revenue[[#This Row],[churned_customers]]</f>
        <v>-4</v>
      </c>
    </row>
    <row r="42" spans="1:11" x14ac:dyDescent="0.25">
      <c r="A42" s="1">
        <v>45778</v>
      </c>
      <c r="B42">
        <v>264</v>
      </c>
      <c r="C42">
        <v>12</v>
      </c>
      <c r="D42">
        <v>15</v>
      </c>
      <c r="E42">
        <v>5.68</v>
      </c>
      <c r="F42">
        <v>287207.82</v>
      </c>
      <c r="G42">
        <v>1087.9100000000001</v>
      </c>
      <c r="H42">
        <v>149.54</v>
      </c>
      <c r="I42">
        <f>monthly_revenue[[#This Row],[new_customers]]*monthly_revenue[[#This Row],[avg_revenue_per_customer]]</f>
        <v>13054.920000000002</v>
      </c>
      <c r="J42">
        <f>monthly_revenue[[#This Row],[churned_customers]]*monthly_revenue[[#This Row],[avg_revenue_per_customer]]</f>
        <v>16318.650000000001</v>
      </c>
      <c r="K42">
        <f>monthly_revenue[[#This Row],[new_customers]]-monthly_revenue[[#This Row],[churned_customers]]</f>
        <v>-3</v>
      </c>
    </row>
    <row r="43" spans="1:11" x14ac:dyDescent="0.25">
      <c r="A43" s="1">
        <v>45809</v>
      </c>
      <c r="B43">
        <v>261</v>
      </c>
      <c r="C43">
        <v>15</v>
      </c>
      <c r="D43">
        <v>11</v>
      </c>
      <c r="E43">
        <v>4.21</v>
      </c>
      <c r="F43">
        <v>280683.13</v>
      </c>
      <c r="G43">
        <v>1075.4100000000001</v>
      </c>
      <c r="H43">
        <v>238.11</v>
      </c>
      <c r="I43">
        <f>monthly_revenue[[#This Row],[new_customers]]*monthly_revenue[[#This Row],[avg_revenue_per_customer]]</f>
        <v>16131.150000000001</v>
      </c>
      <c r="J43">
        <f>monthly_revenue[[#This Row],[churned_customers]]*monthly_revenue[[#This Row],[avg_revenue_per_customer]]</f>
        <v>11829.51</v>
      </c>
      <c r="K43">
        <f>monthly_revenue[[#This Row],[new_customers]]-monthly_revenue[[#This Row],[churned_customers]]</f>
        <v>4</v>
      </c>
    </row>
    <row r="44" spans="1:11" x14ac:dyDescent="0.25">
      <c r="A44" s="1">
        <v>45839</v>
      </c>
      <c r="B44">
        <v>265</v>
      </c>
      <c r="C44">
        <v>9</v>
      </c>
      <c r="D44">
        <v>9</v>
      </c>
      <c r="E44">
        <v>3.4</v>
      </c>
      <c r="F44">
        <v>287661.73</v>
      </c>
      <c r="G44">
        <v>1085.52</v>
      </c>
      <c r="H44">
        <v>150.51</v>
      </c>
      <c r="I44">
        <f>monthly_revenue[[#This Row],[new_customers]]*monthly_revenue[[#This Row],[avg_revenue_per_customer]]</f>
        <v>9769.68</v>
      </c>
      <c r="J44">
        <f>monthly_revenue[[#This Row],[churned_customers]]*monthly_revenue[[#This Row],[avg_revenue_per_customer]]</f>
        <v>9769.68</v>
      </c>
      <c r="K44">
        <f>monthly_revenue[[#This Row],[new_customers]]-monthly_revenue[[#This Row],[churned_customers]]</f>
        <v>0</v>
      </c>
    </row>
    <row r="45" spans="1:11" x14ac:dyDescent="0.25">
      <c r="A45" s="1">
        <v>45870</v>
      </c>
      <c r="B45">
        <v>265</v>
      </c>
      <c r="C45">
        <v>7</v>
      </c>
      <c r="D45">
        <v>7</v>
      </c>
      <c r="E45">
        <v>2.64</v>
      </c>
      <c r="F45">
        <v>287743</v>
      </c>
      <c r="G45">
        <v>1085.82</v>
      </c>
      <c r="H45">
        <v>129.38</v>
      </c>
      <c r="I45">
        <f>monthly_revenue[[#This Row],[new_customers]]*monthly_revenue[[#This Row],[avg_revenue_per_customer]]</f>
        <v>7600.74</v>
      </c>
      <c r="J45">
        <f>monthly_revenue[[#This Row],[churned_customers]]*monthly_revenue[[#This Row],[avg_revenue_per_customer]]</f>
        <v>7600.74</v>
      </c>
      <c r="K45">
        <f>monthly_revenue[[#This Row],[new_customers]]-monthly_revenue[[#This Row],[churned_customers]]</f>
        <v>0</v>
      </c>
    </row>
    <row r="46" spans="1:11" x14ac:dyDescent="0.25">
      <c r="A46" s="1">
        <v>45901</v>
      </c>
      <c r="B46">
        <v>265</v>
      </c>
      <c r="C46">
        <v>13</v>
      </c>
      <c r="D46">
        <v>9</v>
      </c>
      <c r="E46">
        <v>3.4</v>
      </c>
      <c r="F46">
        <v>290824.44</v>
      </c>
      <c r="G46">
        <v>1097.45</v>
      </c>
      <c r="H46">
        <v>182.15</v>
      </c>
      <c r="I46">
        <f>monthly_revenue[[#This Row],[new_customers]]*monthly_revenue[[#This Row],[avg_revenue_per_customer]]</f>
        <v>14266.85</v>
      </c>
      <c r="J46">
        <f>monthly_revenue[[#This Row],[churned_customers]]*monthly_revenue[[#This Row],[avg_revenue_per_customer]]</f>
        <v>9877.0500000000011</v>
      </c>
      <c r="K46">
        <f>monthly_revenue[[#This Row],[new_customers]]-monthly_revenue[[#This Row],[churned_customers]]</f>
        <v>4</v>
      </c>
    </row>
    <row r="47" spans="1:11" x14ac:dyDescent="0.25">
      <c r="A47" s="1">
        <v>45931</v>
      </c>
      <c r="B47">
        <v>269</v>
      </c>
      <c r="C47">
        <v>18</v>
      </c>
      <c r="D47">
        <v>9</v>
      </c>
      <c r="E47">
        <v>3.35</v>
      </c>
      <c r="F47">
        <v>280089.15000000002</v>
      </c>
      <c r="G47">
        <v>1041.22</v>
      </c>
      <c r="H47">
        <v>250.08</v>
      </c>
      <c r="I47">
        <f>monthly_revenue[[#This Row],[new_customers]]*monthly_revenue[[#This Row],[avg_revenue_per_customer]]</f>
        <v>18741.96</v>
      </c>
      <c r="J47">
        <f>monthly_revenue[[#This Row],[churned_customers]]*monthly_revenue[[#This Row],[avg_revenue_per_customer]]</f>
        <v>9370.98</v>
      </c>
      <c r="K47">
        <f>monthly_revenue[[#This Row],[new_customers]]-monthly_revenue[[#This Row],[churned_customers]]</f>
        <v>9</v>
      </c>
    </row>
    <row r="48" spans="1:11" x14ac:dyDescent="0.25">
      <c r="A48" s="1">
        <v>45962</v>
      </c>
      <c r="B48">
        <v>278</v>
      </c>
      <c r="C48">
        <v>11</v>
      </c>
      <c r="D48">
        <v>9</v>
      </c>
      <c r="E48">
        <v>3.24</v>
      </c>
      <c r="F48">
        <v>285261.36</v>
      </c>
      <c r="G48">
        <v>1026.1199999999999</v>
      </c>
      <c r="H48">
        <v>254.4</v>
      </c>
      <c r="I48">
        <f>monthly_revenue[[#This Row],[new_customers]]*monthly_revenue[[#This Row],[avg_revenue_per_customer]]</f>
        <v>11287.32</v>
      </c>
      <c r="J48">
        <f>monthly_revenue[[#This Row],[churned_customers]]*monthly_revenue[[#This Row],[avg_revenue_per_customer]]</f>
        <v>9235.0799999999981</v>
      </c>
      <c r="K48">
        <f>monthly_revenue[[#This Row],[new_customers]]-monthly_revenue[[#This Row],[churned_customers]]</f>
        <v>2</v>
      </c>
    </row>
    <row r="49" spans="1:11" x14ac:dyDescent="0.25">
      <c r="A49" s="1">
        <v>45992</v>
      </c>
      <c r="B49">
        <v>281</v>
      </c>
      <c r="C49">
        <v>11</v>
      </c>
      <c r="D49">
        <v>4</v>
      </c>
      <c r="E49">
        <v>1.42</v>
      </c>
      <c r="F49">
        <v>292628.61</v>
      </c>
      <c r="G49">
        <v>1041.3800000000001</v>
      </c>
      <c r="H49">
        <v>151.47</v>
      </c>
      <c r="I49">
        <f>monthly_revenue[[#This Row],[new_customers]]*monthly_revenue[[#This Row],[avg_revenue_per_customer]]</f>
        <v>11455.18</v>
      </c>
      <c r="J49">
        <f>monthly_revenue[[#This Row],[churned_customers]]*monthly_revenue[[#This Row],[avg_revenue_per_customer]]</f>
        <v>4165.5200000000004</v>
      </c>
      <c r="K49">
        <f>monthly_revenue[[#This Row],[new_customers]]-monthly_revenue[[#This Row],[churned_customers]]</f>
        <v>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11185-C31B-4CDD-B65B-E955CCCA65A4}">
  <dimension ref="A2:K26"/>
  <sheetViews>
    <sheetView topLeftCell="G1" workbookViewId="0">
      <selection activeCell="Q9" sqref="Q9"/>
    </sheetView>
  </sheetViews>
  <sheetFormatPr defaultRowHeight="15" x14ac:dyDescent="0.25"/>
  <cols>
    <col min="1" max="1" width="19.28515625" bestFit="1" customWidth="1"/>
    <col min="2" max="2" width="20.7109375" bestFit="1" customWidth="1"/>
    <col min="4" max="4" width="12.140625" bestFit="1" customWidth="1"/>
    <col min="5" max="5" width="14.5703125" bestFit="1" customWidth="1"/>
    <col min="6" max="6" width="19.28515625" bestFit="1" customWidth="1"/>
    <col min="7" max="7" width="25.140625" bestFit="1" customWidth="1"/>
    <col min="8" max="8" width="20.7109375" bestFit="1" customWidth="1"/>
    <col min="10" max="10" width="12.28515625" bestFit="1" customWidth="1"/>
    <col min="11" max="11" width="20.7109375" bestFit="1" customWidth="1"/>
  </cols>
  <sheetData>
    <row r="2" spans="1:11" x14ac:dyDescent="0.25">
      <c r="A2" s="3" t="s">
        <v>674</v>
      </c>
      <c r="B2" t="s">
        <v>673</v>
      </c>
      <c r="D2" s="3" t="s">
        <v>675</v>
      </c>
      <c r="E2" t="s">
        <v>673</v>
      </c>
      <c r="G2" s="3" t="s">
        <v>676</v>
      </c>
      <c r="H2" t="s">
        <v>673</v>
      </c>
      <c r="J2" s="3" t="s">
        <v>8</v>
      </c>
      <c r="K2" t="s">
        <v>677</v>
      </c>
    </row>
    <row r="3" spans="1:11" x14ac:dyDescent="0.25">
      <c r="A3" s="4" t="s">
        <v>71</v>
      </c>
      <c r="B3" s="5">
        <v>0.22</v>
      </c>
      <c r="D3" s="4" t="s">
        <v>28</v>
      </c>
      <c r="E3" s="5">
        <v>0.40322580645161288</v>
      </c>
      <c r="G3" s="4" t="s">
        <v>21</v>
      </c>
      <c r="H3" s="5">
        <v>0.42553191489361702</v>
      </c>
      <c r="J3" s="4" t="s">
        <v>682</v>
      </c>
      <c r="K3">
        <v>287</v>
      </c>
    </row>
    <row r="4" spans="1:11" x14ac:dyDescent="0.25">
      <c r="A4" s="4" t="s">
        <v>36</v>
      </c>
      <c r="B4" s="5">
        <v>0.41249999999999998</v>
      </c>
      <c r="D4" s="4" t="s">
        <v>19</v>
      </c>
      <c r="E4" s="5">
        <v>0.60511363636363635</v>
      </c>
      <c r="G4" s="4" t="s">
        <v>663</v>
      </c>
      <c r="H4" s="5">
        <v>0.52840909090909094</v>
      </c>
      <c r="J4" s="4" t="s">
        <v>678</v>
      </c>
      <c r="K4">
        <v>36</v>
      </c>
    </row>
    <row r="5" spans="1:11" x14ac:dyDescent="0.25">
      <c r="A5" s="4" t="s">
        <v>18</v>
      </c>
      <c r="B5" s="5">
        <v>0.47976878612716761</v>
      </c>
      <c r="D5" s="4" t="s">
        <v>672</v>
      </c>
      <c r="E5">
        <v>0.52166666666666661</v>
      </c>
      <c r="G5" s="4" t="s">
        <v>45</v>
      </c>
      <c r="H5" s="5">
        <v>0.53409090909090906</v>
      </c>
      <c r="J5" s="4" t="s">
        <v>679</v>
      </c>
      <c r="K5">
        <v>72</v>
      </c>
    </row>
    <row r="6" spans="1:11" x14ac:dyDescent="0.25">
      <c r="A6" s="4" t="s">
        <v>31</v>
      </c>
      <c r="B6" s="5">
        <v>0.70506912442396308</v>
      </c>
      <c r="G6" s="4" t="s">
        <v>664</v>
      </c>
      <c r="H6" s="5">
        <v>0.56687898089171973</v>
      </c>
      <c r="J6" s="4" t="s">
        <v>680</v>
      </c>
      <c r="K6">
        <v>91</v>
      </c>
    </row>
    <row r="7" spans="1:11" x14ac:dyDescent="0.25">
      <c r="A7" s="4" t="s">
        <v>672</v>
      </c>
      <c r="B7">
        <v>0.52166666666666661</v>
      </c>
      <c r="D7" s="3" t="s">
        <v>8</v>
      </c>
      <c r="E7" t="s">
        <v>673</v>
      </c>
      <c r="G7" s="4" t="s">
        <v>33</v>
      </c>
      <c r="H7" s="5">
        <v>0.63157894736842102</v>
      </c>
      <c r="J7" s="4" t="s">
        <v>681</v>
      </c>
      <c r="K7">
        <v>114</v>
      </c>
    </row>
    <row r="8" spans="1:11" x14ac:dyDescent="0.25">
      <c r="D8" s="4" t="s">
        <v>23</v>
      </c>
      <c r="E8" s="5">
        <v>0.48943661971830987</v>
      </c>
      <c r="G8" s="4" t="s">
        <v>672</v>
      </c>
      <c r="H8">
        <v>0.52166666666666661</v>
      </c>
      <c r="J8" s="4" t="s">
        <v>672</v>
      </c>
      <c r="K8">
        <v>600</v>
      </c>
    </row>
    <row r="9" spans="1:11" x14ac:dyDescent="0.25">
      <c r="A9" s="3" t="s">
        <v>7</v>
      </c>
      <c r="B9" t="s">
        <v>673</v>
      </c>
      <c r="D9" s="4" t="s">
        <v>55</v>
      </c>
      <c r="E9" s="5">
        <v>0.51063829787234039</v>
      </c>
    </row>
    <row r="10" spans="1:11" x14ac:dyDescent="0.25">
      <c r="A10" s="4" t="s">
        <v>29</v>
      </c>
      <c r="B10" s="5">
        <v>0.39285714285714285</v>
      </c>
      <c r="D10" s="4" t="s">
        <v>38</v>
      </c>
      <c r="E10" s="5">
        <v>0.54938271604938271</v>
      </c>
      <c r="G10" s="3" t="s">
        <v>709</v>
      </c>
      <c r="H10" t="s">
        <v>677</v>
      </c>
    </row>
    <row r="11" spans="1:11" x14ac:dyDescent="0.25">
      <c r="A11" s="4" t="s">
        <v>22</v>
      </c>
      <c r="B11" s="5">
        <v>0.43790849673202614</v>
      </c>
      <c r="D11" s="4" t="s">
        <v>69</v>
      </c>
      <c r="E11" s="5">
        <v>0.6166666666666667</v>
      </c>
      <c r="G11" s="4" t="s">
        <v>700</v>
      </c>
      <c r="H11">
        <v>123</v>
      </c>
    </row>
    <row r="12" spans="1:11" x14ac:dyDescent="0.25">
      <c r="A12" s="4" t="s">
        <v>60</v>
      </c>
      <c r="B12" s="5">
        <v>0.5304347826086957</v>
      </c>
      <c r="D12" s="4" t="s">
        <v>672</v>
      </c>
      <c r="E12">
        <v>0.52166666666666661</v>
      </c>
      <c r="G12" s="4" t="s">
        <v>699</v>
      </c>
      <c r="H12">
        <v>223</v>
      </c>
    </row>
    <row r="13" spans="1:11" x14ac:dyDescent="0.25">
      <c r="A13" s="4" t="s">
        <v>98</v>
      </c>
      <c r="B13" s="5">
        <v>0.55769230769230771</v>
      </c>
      <c r="G13" s="4" t="s">
        <v>701</v>
      </c>
      <c r="H13">
        <v>254</v>
      </c>
    </row>
    <row r="14" spans="1:11" x14ac:dyDescent="0.25">
      <c r="A14" s="4" t="s">
        <v>34</v>
      </c>
      <c r="B14" s="5">
        <v>0.57999999999999996</v>
      </c>
      <c r="D14" s="3" t="s">
        <v>674</v>
      </c>
      <c r="E14" t="s">
        <v>698</v>
      </c>
      <c r="G14" s="4" t="s">
        <v>672</v>
      </c>
      <c r="H14">
        <v>600</v>
      </c>
    </row>
    <row r="15" spans="1:11" x14ac:dyDescent="0.25">
      <c r="A15" s="4" t="s">
        <v>43</v>
      </c>
      <c r="B15" s="5">
        <v>0.61290322580645162</v>
      </c>
      <c r="D15" s="4" t="s">
        <v>31</v>
      </c>
      <c r="E15" s="7">
        <v>2033.39866359447</v>
      </c>
    </row>
    <row r="16" spans="1:11" x14ac:dyDescent="0.25">
      <c r="A16" s="4" t="s">
        <v>672</v>
      </c>
      <c r="B16">
        <v>0.52166666666666661</v>
      </c>
      <c r="D16" s="4" t="s">
        <v>18</v>
      </c>
      <c r="E16" s="7">
        <v>8875.4493063583832</v>
      </c>
    </row>
    <row r="17" spans="1:6" x14ac:dyDescent="0.25">
      <c r="D17" s="4" t="s">
        <v>36</v>
      </c>
      <c r="E17" s="7">
        <v>23629.787624999997</v>
      </c>
    </row>
    <row r="18" spans="1:6" x14ac:dyDescent="0.25">
      <c r="A18" s="3" t="s">
        <v>710</v>
      </c>
      <c r="B18" t="s">
        <v>677</v>
      </c>
      <c r="D18" s="4" t="s">
        <v>71</v>
      </c>
      <c r="E18" s="7">
        <v>74460.754000000001</v>
      </c>
    </row>
    <row r="19" spans="1:6" x14ac:dyDescent="0.25">
      <c r="A19" s="4" t="s">
        <v>50</v>
      </c>
      <c r="B19">
        <v>38</v>
      </c>
      <c r="D19" s="4" t="s">
        <v>672</v>
      </c>
      <c r="E19">
        <v>15800.839933333342</v>
      </c>
    </row>
    <row r="20" spans="1:6" x14ac:dyDescent="0.25">
      <c r="A20" s="4" t="s">
        <v>82</v>
      </c>
      <c r="B20">
        <v>40</v>
      </c>
    </row>
    <row r="21" spans="1:6" x14ac:dyDescent="0.25">
      <c r="A21" s="4" t="s">
        <v>63</v>
      </c>
      <c r="B21">
        <v>41</v>
      </c>
      <c r="D21" s="3" t="s">
        <v>674</v>
      </c>
      <c r="E21" t="s">
        <v>698</v>
      </c>
      <c r="F21" t="s">
        <v>703</v>
      </c>
    </row>
    <row r="22" spans="1:6" x14ac:dyDescent="0.25">
      <c r="A22" s="4" t="s">
        <v>46</v>
      </c>
      <c r="B22">
        <v>42</v>
      </c>
      <c r="D22" s="4" t="s">
        <v>36</v>
      </c>
      <c r="E22" s="7">
        <v>23629.787624999997</v>
      </c>
      <c r="F22" s="7">
        <v>118.14893812500011</v>
      </c>
    </row>
    <row r="23" spans="1:6" x14ac:dyDescent="0.25">
      <c r="A23" s="4" t="s">
        <v>56</v>
      </c>
      <c r="B23">
        <v>48</v>
      </c>
      <c r="D23" s="4" t="s">
        <v>71</v>
      </c>
      <c r="E23" s="7">
        <v>74460.754000000001</v>
      </c>
      <c r="F23" s="7">
        <v>372.30376999999993</v>
      </c>
    </row>
    <row r="24" spans="1:6" x14ac:dyDescent="0.25">
      <c r="A24" s="4" t="s">
        <v>25</v>
      </c>
      <c r="B24">
        <v>51</v>
      </c>
      <c r="D24" s="4" t="s">
        <v>18</v>
      </c>
      <c r="E24" s="7">
        <v>8875.4493063583832</v>
      </c>
      <c r="F24" s="7">
        <v>44.377246531791926</v>
      </c>
    </row>
    <row r="25" spans="1:6" x14ac:dyDescent="0.25">
      <c r="A25" s="4" t="s">
        <v>53</v>
      </c>
      <c r="B25">
        <v>53</v>
      </c>
      <c r="D25" s="4" t="s">
        <v>31</v>
      </c>
      <c r="E25" s="7">
        <v>2033.39866359447</v>
      </c>
      <c r="F25" s="7">
        <v>10.166993317972354</v>
      </c>
    </row>
    <row r="26" spans="1:6" x14ac:dyDescent="0.25">
      <c r="A26" s="4" t="s">
        <v>672</v>
      </c>
      <c r="B26">
        <v>313</v>
      </c>
      <c r="D26" s="4" t="s">
        <v>672</v>
      </c>
      <c r="E26">
        <v>15800.839933333342</v>
      </c>
      <c r="F26">
        <v>79.004199666666764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FD4FD-31BE-4CE6-83B1-84B8AAAE222F}">
  <dimension ref="A1"/>
  <sheetViews>
    <sheetView tabSelected="1" topLeftCell="D22" workbookViewId="0">
      <selection activeCell="Q42" sqref="Q42"/>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5965A-97BD-4456-809E-4468F25A3C81}">
  <dimension ref="A2:I55"/>
  <sheetViews>
    <sheetView workbookViewId="0">
      <selection activeCell="K12" sqref="K12"/>
    </sheetView>
  </sheetViews>
  <sheetFormatPr defaultRowHeight="15" x14ac:dyDescent="0.25"/>
  <cols>
    <col min="1" max="1" width="11.28515625" bestFit="1" customWidth="1"/>
    <col min="2" max="2" width="16" bestFit="1" customWidth="1"/>
    <col min="3" max="3" width="4.85546875" customWidth="1"/>
    <col min="4" max="4" width="11.28515625" bestFit="1" customWidth="1"/>
    <col min="5" max="5" width="30" bestFit="1" customWidth="1"/>
    <col min="6" max="6" width="4.42578125" customWidth="1"/>
    <col min="7" max="7" width="11.28515625" bestFit="1" customWidth="1"/>
    <col min="8" max="8" width="14.85546875" bestFit="1" customWidth="1"/>
    <col min="9" max="9" width="18.7109375" bestFit="1" customWidth="1"/>
  </cols>
  <sheetData>
    <row r="2" spans="1:9" x14ac:dyDescent="0.25">
      <c r="A2" s="3" t="s">
        <v>696</v>
      </c>
      <c r="B2" t="s">
        <v>695</v>
      </c>
      <c r="D2" s="3" t="s">
        <v>696</v>
      </c>
      <c r="E2" t="s">
        <v>697</v>
      </c>
      <c r="G2" s="3" t="s">
        <v>696</v>
      </c>
      <c r="H2" t="s">
        <v>711</v>
      </c>
      <c r="I2" t="s">
        <v>712</v>
      </c>
    </row>
    <row r="3" spans="1:9" x14ac:dyDescent="0.25">
      <c r="A3" s="4" t="s">
        <v>678</v>
      </c>
      <c r="B3" s="11">
        <v>552973.86</v>
      </c>
      <c r="D3" s="4" t="s">
        <v>678</v>
      </c>
      <c r="E3" s="11">
        <v>81.67</v>
      </c>
      <c r="G3" s="4" t="s">
        <v>678</v>
      </c>
      <c r="H3" s="11">
        <v>143</v>
      </c>
      <c r="I3" s="11">
        <v>36</v>
      </c>
    </row>
    <row r="4" spans="1:9" x14ac:dyDescent="0.25">
      <c r="A4" s="6" t="s">
        <v>683</v>
      </c>
      <c r="B4" s="11">
        <v>0</v>
      </c>
      <c r="D4" s="6" t="s">
        <v>683</v>
      </c>
      <c r="E4" s="11">
        <v>0</v>
      </c>
      <c r="G4" s="4" t="s">
        <v>679</v>
      </c>
      <c r="H4" s="11">
        <v>151</v>
      </c>
      <c r="I4" s="11">
        <v>72</v>
      </c>
    </row>
    <row r="5" spans="1:9" x14ac:dyDescent="0.25">
      <c r="A5" s="6" t="s">
        <v>684</v>
      </c>
      <c r="B5" s="11">
        <v>7333.07</v>
      </c>
      <c r="D5" s="6" t="s">
        <v>684</v>
      </c>
      <c r="E5" s="11">
        <v>20</v>
      </c>
      <c r="G5" s="4" t="s">
        <v>680</v>
      </c>
      <c r="H5" s="11">
        <v>151</v>
      </c>
      <c r="I5" s="11">
        <v>91</v>
      </c>
    </row>
    <row r="6" spans="1:9" x14ac:dyDescent="0.25">
      <c r="A6" s="6" t="s">
        <v>685</v>
      </c>
      <c r="B6" s="11">
        <v>12301.16</v>
      </c>
      <c r="D6" s="6" t="s">
        <v>685</v>
      </c>
      <c r="E6" s="11">
        <v>0</v>
      </c>
      <c r="G6" s="4" t="s">
        <v>681</v>
      </c>
      <c r="H6" s="11">
        <v>155</v>
      </c>
      <c r="I6" s="11">
        <v>114</v>
      </c>
    </row>
    <row r="7" spans="1:9" x14ac:dyDescent="0.25">
      <c r="A7" s="6" t="s">
        <v>686</v>
      </c>
      <c r="B7" s="11">
        <v>24798.76</v>
      </c>
      <c r="D7" s="6" t="s">
        <v>686</v>
      </c>
      <c r="E7" s="11">
        <v>10.71</v>
      </c>
      <c r="G7" s="4" t="s">
        <v>672</v>
      </c>
      <c r="H7" s="11">
        <v>600</v>
      </c>
      <c r="I7" s="11">
        <v>313</v>
      </c>
    </row>
    <row r="8" spans="1:9" x14ac:dyDescent="0.25">
      <c r="A8" s="6" t="s">
        <v>687</v>
      </c>
      <c r="B8" s="11">
        <v>29091.88</v>
      </c>
      <c r="D8" s="6" t="s">
        <v>687</v>
      </c>
      <c r="E8" s="11">
        <v>2.86</v>
      </c>
    </row>
    <row r="9" spans="1:9" x14ac:dyDescent="0.25">
      <c r="A9" s="6" t="s">
        <v>688</v>
      </c>
      <c r="B9" s="11">
        <v>38919.93</v>
      </c>
      <c r="D9" s="6" t="s">
        <v>688</v>
      </c>
      <c r="E9" s="11">
        <v>4.3499999999999996</v>
      </c>
    </row>
    <row r="10" spans="1:9" x14ac:dyDescent="0.25">
      <c r="A10" s="6" t="s">
        <v>689</v>
      </c>
      <c r="B10" s="11">
        <v>45097.72</v>
      </c>
      <c r="D10" s="6" t="s">
        <v>689</v>
      </c>
      <c r="E10" s="11">
        <v>11.32</v>
      </c>
    </row>
    <row r="11" spans="1:9" x14ac:dyDescent="0.25">
      <c r="A11" s="6" t="s">
        <v>690</v>
      </c>
      <c r="B11" s="11">
        <v>54140.41</v>
      </c>
      <c r="D11" s="6" t="s">
        <v>690</v>
      </c>
      <c r="E11" s="11">
        <v>10.53</v>
      </c>
    </row>
    <row r="12" spans="1:9" x14ac:dyDescent="0.25">
      <c r="A12" s="6" t="s">
        <v>691</v>
      </c>
      <c r="B12" s="11">
        <v>65198</v>
      </c>
      <c r="D12" s="6" t="s">
        <v>691</v>
      </c>
      <c r="E12" s="11">
        <v>7.46</v>
      </c>
    </row>
    <row r="13" spans="1:9" x14ac:dyDescent="0.25">
      <c r="A13" s="6" t="s">
        <v>692</v>
      </c>
      <c r="B13" s="11">
        <v>86824.16</v>
      </c>
      <c r="D13" s="6" t="s">
        <v>692</v>
      </c>
      <c r="E13" s="11">
        <v>6.58</v>
      </c>
    </row>
    <row r="14" spans="1:9" x14ac:dyDescent="0.25">
      <c r="A14" s="6" t="s">
        <v>693</v>
      </c>
      <c r="B14" s="11">
        <v>93168.11</v>
      </c>
      <c r="D14" s="6" t="s">
        <v>693</v>
      </c>
      <c r="E14" s="11">
        <v>5.75</v>
      </c>
    </row>
    <row r="15" spans="1:9" x14ac:dyDescent="0.25">
      <c r="A15" s="6" t="s">
        <v>694</v>
      </c>
      <c r="B15" s="11">
        <v>96100.66</v>
      </c>
      <c r="D15" s="6" t="s">
        <v>694</v>
      </c>
      <c r="E15" s="11">
        <v>2.11</v>
      </c>
    </row>
    <row r="16" spans="1:9" x14ac:dyDescent="0.25">
      <c r="A16" s="4" t="s">
        <v>679</v>
      </c>
      <c r="B16" s="11">
        <v>1774192.8200000003</v>
      </c>
      <c r="D16" s="4" t="s">
        <v>679</v>
      </c>
      <c r="E16" s="11">
        <v>49.39</v>
      </c>
    </row>
    <row r="17" spans="1:5" x14ac:dyDescent="0.25">
      <c r="A17" s="6" t="s">
        <v>683</v>
      </c>
      <c r="B17" s="11">
        <v>104773.35</v>
      </c>
      <c r="D17" s="6" t="s">
        <v>683</v>
      </c>
      <c r="E17" s="11">
        <v>3.74</v>
      </c>
    </row>
    <row r="18" spans="1:5" x14ac:dyDescent="0.25">
      <c r="A18" s="6" t="s">
        <v>684</v>
      </c>
      <c r="B18" s="11">
        <v>115539.13</v>
      </c>
      <c r="D18" s="6" t="s">
        <v>684</v>
      </c>
      <c r="E18" s="11">
        <v>2.61</v>
      </c>
    </row>
    <row r="19" spans="1:5" x14ac:dyDescent="0.25">
      <c r="A19" s="6" t="s">
        <v>685</v>
      </c>
      <c r="B19" s="11">
        <v>125258.61</v>
      </c>
      <c r="D19" s="6" t="s">
        <v>685</v>
      </c>
      <c r="E19" s="11">
        <v>1.63</v>
      </c>
    </row>
    <row r="20" spans="1:5" x14ac:dyDescent="0.25">
      <c r="A20" s="6" t="s">
        <v>686</v>
      </c>
      <c r="B20" s="11">
        <v>129471.28</v>
      </c>
      <c r="D20" s="6" t="s">
        <v>686</v>
      </c>
      <c r="E20" s="11">
        <v>6.4</v>
      </c>
    </row>
    <row r="21" spans="1:5" x14ac:dyDescent="0.25">
      <c r="A21" s="6" t="s">
        <v>687</v>
      </c>
      <c r="B21" s="11">
        <v>142401.69</v>
      </c>
      <c r="D21" s="6" t="s">
        <v>687</v>
      </c>
      <c r="E21" s="11">
        <v>3.01</v>
      </c>
    </row>
    <row r="22" spans="1:5" x14ac:dyDescent="0.25">
      <c r="A22" s="6" t="s">
        <v>688</v>
      </c>
      <c r="B22" s="11">
        <v>142966.32</v>
      </c>
      <c r="D22" s="6" t="s">
        <v>688</v>
      </c>
      <c r="E22" s="11">
        <v>7.14</v>
      </c>
    </row>
    <row r="23" spans="1:5" x14ac:dyDescent="0.25">
      <c r="A23" s="6" t="s">
        <v>689</v>
      </c>
      <c r="B23" s="11">
        <v>147630.35999999999</v>
      </c>
      <c r="D23" s="6" t="s">
        <v>689</v>
      </c>
      <c r="E23" s="11">
        <v>4.83</v>
      </c>
    </row>
    <row r="24" spans="1:5" x14ac:dyDescent="0.25">
      <c r="A24" s="6" t="s">
        <v>690</v>
      </c>
      <c r="B24" s="11">
        <v>158920.70000000001</v>
      </c>
      <c r="D24" s="6" t="s">
        <v>690</v>
      </c>
      <c r="E24" s="11">
        <v>4.46</v>
      </c>
    </row>
    <row r="25" spans="1:5" x14ac:dyDescent="0.25">
      <c r="A25" s="6" t="s">
        <v>691</v>
      </c>
      <c r="B25" s="11">
        <v>162830.01999999999</v>
      </c>
      <c r="D25" s="6" t="s">
        <v>691</v>
      </c>
      <c r="E25" s="11">
        <v>4.38</v>
      </c>
    </row>
    <row r="26" spans="1:5" x14ac:dyDescent="0.25">
      <c r="A26" s="6" t="s">
        <v>692</v>
      </c>
      <c r="B26" s="11">
        <v>170763.72</v>
      </c>
      <c r="D26" s="6" t="s">
        <v>692</v>
      </c>
      <c r="E26" s="11">
        <v>2.94</v>
      </c>
    </row>
    <row r="27" spans="1:5" x14ac:dyDescent="0.25">
      <c r="A27" s="6" t="s">
        <v>693</v>
      </c>
      <c r="B27" s="11">
        <v>184058.29</v>
      </c>
      <c r="D27" s="6" t="s">
        <v>693</v>
      </c>
      <c r="E27" s="11">
        <v>4.42</v>
      </c>
    </row>
    <row r="28" spans="1:5" x14ac:dyDescent="0.25">
      <c r="A28" s="6" t="s">
        <v>694</v>
      </c>
      <c r="B28" s="11">
        <v>189579.35</v>
      </c>
      <c r="D28" s="6" t="s">
        <v>694</v>
      </c>
      <c r="E28" s="11">
        <v>3.83</v>
      </c>
    </row>
    <row r="29" spans="1:5" x14ac:dyDescent="0.25">
      <c r="A29" s="4" t="s">
        <v>680</v>
      </c>
      <c r="B29" s="11">
        <v>2666353.2500000009</v>
      </c>
      <c r="D29" s="4" t="s">
        <v>680</v>
      </c>
      <c r="E29" s="11">
        <v>42.660000000000004</v>
      </c>
    </row>
    <row r="30" spans="1:5" x14ac:dyDescent="0.25">
      <c r="A30" s="6" t="s">
        <v>683</v>
      </c>
      <c r="B30" s="11">
        <v>191783.54</v>
      </c>
      <c r="D30" s="6" t="s">
        <v>683</v>
      </c>
      <c r="E30" s="11">
        <v>3.76</v>
      </c>
    </row>
    <row r="31" spans="1:5" x14ac:dyDescent="0.25">
      <c r="A31" s="6" t="s">
        <v>684</v>
      </c>
      <c r="B31" s="11">
        <v>192379.41</v>
      </c>
      <c r="D31" s="6" t="s">
        <v>684</v>
      </c>
      <c r="E31" s="11">
        <v>4.26</v>
      </c>
    </row>
    <row r="32" spans="1:5" x14ac:dyDescent="0.25">
      <c r="A32" s="6" t="s">
        <v>685</v>
      </c>
      <c r="B32" s="11">
        <v>196219.33</v>
      </c>
      <c r="D32" s="6" t="s">
        <v>685</v>
      </c>
      <c r="E32" s="11">
        <v>2.12</v>
      </c>
    </row>
    <row r="33" spans="1:5" x14ac:dyDescent="0.25">
      <c r="A33" s="6" t="s">
        <v>686</v>
      </c>
      <c r="B33" s="11">
        <v>200076.61</v>
      </c>
      <c r="D33" s="6" t="s">
        <v>686</v>
      </c>
      <c r="E33" s="11">
        <v>3.94</v>
      </c>
    </row>
    <row r="34" spans="1:5" x14ac:dyDescent="0.25">
      <c r="A34" s="6" t="s">
        <v>687</v>
      </c>
      <c r="B34" s="11">
        <v>217117.58</v>
      </c>
      <c r="D34" s="6" t="s">
        <v>687</v>
      </c>
      <c r="E34" s="11">
        <v>3.88</v>
      </c>
    </row>
    <row r="35" spans="1:5" x14ac:dyDescent="0.25">
      <c r="A35" s="6" t="s">
        <v>688</v>
      </c>
      <c r="B35" s="11">
        <v>215810.52</v>
      </c>
      <c r="D35" s="6" t="s">
        <v>688</v>
      </c>
      <c r="E35" s="11">
        <v>4.2300000000000004</v>
      </c>
    </row>
    <row r="36" spans="1:5" x14ac:dyDescent="0.25">
      <c r="A36" s="6" t="s">
        <v>689</v>
      </c>
      <c r="B36" s="11">
        <v>222303.35999999999</v>
      </c>
      <c r="D36" s="6" t="s">
        <v>689</v>
      </c>
      <c r="E36" s="11">
        <v>3.7</v>
      </c>
    </row>
    <row r="37" spans="1:5" x14ac:dyDescent="0.25">
      <c r="A37" s="6" t="s">
        <v>690</v>
      </c>
      <c r="B37" s="11">
        <v>242222.62</v>
      </c>
      <c r="D37" s="6" t="s">
        <v>690</v>
      </c>
      <c r="E37" s="11">
        <v>3.14</v>
      </c>
    </row>
    <row r="38" spans="1:5" x14ac:dyDescent="0.25">
      <c r="A38" s="6" t="s">
        <v>691</v>
      </c>
      <c r="B38" s="11">
        <v>234749.84</v>
      </c>
      <c r="D38" s="6" t="s">
        <v>691</v>
      </c>
      <c r="E38" s="11">
        <v>3.1</v>
      </c>
    </row>
    <row r="39" spans="1:5" x14ac:dyDescent="0.25">
      <c r="A39" s="6" t="s">
        <v>692</v>
      </c>
      <c r="B39" s="11">
        <v>239344.73</v>
      </c>
      <c r="D39" s="6" t="s">
        <v>692</v>
      </c>
      <c r="E39" s="11">
        <v>3</v>
      </c>
    </row>
    <row r="40" spans="1:5" x14ac:dyDescent="0.25">
      <c r="A40" s="6" t="s">
        <v>693</v>
      </c>
      <c r="B40" s="11">
        <v>253489.47</v>
      </c>
      <c r="D40" s="6" t="s">
        <v>693</v>
      </c>
      <c r="E40" s="11">
        <v>3.78</v>
      </c>
    </row>
    <row r="41" spans="1:5" x14ac:dyDescent="0.25">
      <c r="A41" s="6" t="s">
        <v>694</v>
      </c>
      <c r="B41" s="11">
        <v>260856.24</v>
      </c>
      <c r="D41" s="6" t="s">
        <v>694</v>
      </c>
      <c r="E41" s="11">
        <v>3.75</v>
      </c>
    </row>
    <row r="42" spans="1:5" x14ac:dyDescent="0.25">
      <c r="A42" s="4" t="s">
        <v>681</v>
      </c>
      <c r="B42" s="11">
        <v>3401123.94</v>
      </c>
      <c r="D42" s="4" t="s">
        <v>681</v>
      </c>
      <c r="E42" s="11">
        <v>43.190000000000005</v>
      </c>
    </row>
    <row r="43" spans="1:5" x14ac:dyDescent="0.25">
      <c r="A43" s="6" t="s">
        <v>683</v>
      </c>
      <c r="B43" s="11">
        <v>266142.93</v>
      </c>
      <c r="D43" s="6" t="s">
        <v>683</v>
      </c>
      <c r="E43" s="11">
        <v>3.64</v>
      </c>
    </row>
    <row r="44" spans="1:5" x14ac:dyDescent="0.25">
      <c r="A44" s="6" t="s">
        <v>684</v>
      </c>
      <c r="B44" s="11">
        <v>274162.53999999998</v>
      </c>
      <c r="D44" s="6" t="s">
        <v>684</v>
      </c>
      <c r="E44" s="11">
        <v>3.19</v>
      </c>
    </row>
    <row r="45" spans="1:5" x14ac:dyDescent="0.25">
      <c r="A45" s="6" t="s">
        <v>685</v>
      </c>
      <c r="B45" s="11">
        <v>280928.08</v>
      </c>
      <c r="D45" s="6" t="s">
        <v>685</v>
      </c>
      <c r="E45" s="11">
        <v>2.72</v>
      </c>
    </row>
    <row r="46" spans="1:5" x14ac:dyDescent="0.25">
      <c r="A46" s="6" t="s">
        <v>686</v>
      </c>
      <c r="B46" s="11">
        <v>287791.15000000002</v>
      </c>
      <c r="D46" s="6" t="s">
        <v>686</v>
      </c>
      <c r="E46" s="11">
        <v>6.3</v>
      </c>
    </row>
    <row r="47" spans="1:5" x14ac:dyDescent="0.25">
      <c r="A47" s="6" t="s">
        <v>687</v>
      </c>
      <c r="B47" s="11">
        <v>287207.82</v>
      </c>
      <c r="D47" s="6" t="s">
        <v>687</v>
      </c>
      <c r="E47" s="11">
        <v>5.68</v>
      </c>
    </row>
    <row r="48" spans="1:5" x14ac:dyDescent="0.25">
      <c r="A48" s="6" t="s">
        <v>688</v>
      </c>
      <c r="B48" s="11">
        <v>280683.13</v>
      </c>
      <c r="D48" s="6" t="s">
        <v>688</v>
      </c>
      <c r="E48" s="11">
        <v>4.21</v>
      </c>
    </row>
    <row r="49" spans="1:5" x14ac:dyDescent="0.25">
      <c r="A49" s="6" t="s">
        <v>689</v>
      </c>
      <c r="B49" s="11">
        <v>287661.73</v>
      </c>
      <c r="D49" s="6" t="s">
        <v>689</v>
      </c>
      <c r="E49" s="11">
        <v>3.4</v>
      </c>
    </row>
    <row r="50" spans="1:5" x14ac:dyDescent="0.25">
      <c r="A50" s="6" t="s">
        <v>690</v>
      </c>
      <c r="B50" s="11">
        <v>287743</v>
      </c>
      <c r="D50" s="6" t="s">
        <v>690</v>
      </c>
      <c r="E50" s="11">
        <v>2.64</v>
      </c>
    </row>
    <row r="51" spans="1:5" x14ac:dyDescent="0.25">
      <c r="A51" s="6" t="s">
        <v>691</v>
      </c>
      <c r="B51" s="11">
        <v>290824.44</v>
      </c>
      <c r="D51" s="6" t="s">
        <v>691</v>
      </c>
      <c r="E51" s="11">
        <v>3.4</v>
      </c>
    </row>
    <row r="52" spans="1:5" x14ac:dyDescent="0.25">
      <c r="A52" s="6" t="s">
        <v>692</v>
      </c>
      <c r="B52" s="11">
        <v>280089.15000000002</v>
      </c>
      <c r="D52" s="6" t="s">
        <v>692</v>
      </c>
      <c r="E52" s="11">
        <v>3.35</v>
      </c>
    </row>
    <row r="53" spans="1:5" x14ac:dyDescent="0.25">
      <c r="A53" s="6" t="s">
        <v>693</v>
      </c>
      <c r="B53" s="11">
        <v>285261.36</v>
      </c>
      <c r="D53" s="6" t="s">
        <v>693</v>
      </c>
      <c r="E53" s="11">
        <v>3.24</v>
      </c>
    </row>
    <row r="54" spans="1:5" x14ac:dyDescent="0.25">
      <c r="A54" s="6" t="s">
        <v>694</v>
      </c>
      <c r="B54" s="11">
        <v>292628.61</v>
      </c>
      <c r="D54" s="6" t="s">
        <v>694</v>
      </c>
      <c r="E54" s="11">
        <v>1.42</v>
      </c>
    </row>
    <row r="55" spans="1:5" x14ac:dyDescent="0.25">
      <c r="A55" s="4" t="s">
        <v>672</v>
      </c>
      <c r="B55" s="11">
        <v>8394643.870000001</v>
      </c>
      <c r="D55" s="4" t="s">
        <v>672</v>
      </c>
      <c r="E55" s="11">
        <v>216.90999999999994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8D53-480C-4423-97F2-CE1C7907F144}">
  <dimension ref="A2"/>
  <sheetViews>
    <sheetView topLeftCell="I1" workbookViewId="0">
      <selection activeCell="F16" sqref="F16"/>
    </sheetView>
  </sheetViews>
  <sheetFormatPr defaultRowHeight="15" x14ac:dyDescent="0.25"/>
  <cols>
    <col min="1" max="16384" width="9.140625" style="9"/>
  </cols>
  <sheetData>
    <row r="2" spans="1:1" ht="16.5" customHeight="1" x14ac:dyDescent="0.35">
      <c r="A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8BFB4A-D08A-4B2C-9B3A-4A95779A6E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subscriptions</vt:lpstr>
      <vt:lpstr>monthly_revenue</vt:lpstr>
      <vt:lpstr>churn_analysis</vt:lpstr>
      <vt:lpstr>Charts</vt:lpstr>
      <vt:lpstr>revenue_analysis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farheen m</cp:lastModifiedBy>
  <dcterms:created xsi:type="dcterms:W3CDTF">2026-05-01T05:07:30Z</dcterms:created>
  <dcterms:modified xsi:type="dcterms:W3CDTF">2026-05-14T05:00:47Z</dcterms:modified>
</cp:coreProperties>
</file>